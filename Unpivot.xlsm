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67\"/>
    </mc:Choice>
  </mc:AlternateContent>
  <xr:revisionPtr revIDLastSave="0" documentId="13_ncr:1_{698A8357-D46A-4E41-A0C0-6D38915A2AE1}" xr6:coauthVersionLast="47" xr6:coauthVersionMax="47" xr10:uidLastSave="{00000000-0000-0000-0000-000000000000}"/>
  <bookViews>
    <workbookView xWindow="-103" yWindow="-103" windowWidth="33120" windowHeight="18120" tabRatio="801" activeTab="5" xr2:uid="{00000000-000D-0000-FFFF-FFFF00000000}"/>
  </bookViews>
  <sheets>
    <sheet name="Guide" sheetId="6" r:id="rId1"/>
    <sheet name="Params" sheetId="5" r:id="rId2"/>
    <sheet name="rPT" sheetId="8" r:id="rId3"/>
    <sheet name="Sheet5" sheetId="11" r:id="rId4"/>
    <sheet name="Sheet4" sheetId="10" r:id="rId5"/>
    <sheet name="oUnpivotted" sheetId="7" r:id="rId6"/>
    <sheet name="sPivotData" sheetId="1" r:id="rId7"/>
  </sheets>
  <definedNames>
    <definedName name="_xlcn.WorksheetConnection_Unpivot.xlsmdtbUnpivoted1" hidden="1">dtbUnpivoted[]</definedName>
    <definedName name="afbGuide">Guide!$A$1:$B$4</definedName>
    <definedName name="afbParams">Params!$A$1:$A$4</definedName>
    <definedName name="afbSheet" localSheetId="5">oUnpivotted!$O$11:$O$14</definedName>
    <definedName name="afbSheet" localSheetId="2">rPT!$K$11:$K$14</definedName>
    <definedName name="afbSheet" localSheetId="6">sPivotData!$K$11:$L$14</definedName>
    <definedName name="ExternalData_1" localSheetId="5" hidden="1">oUnpivotted!$O$14:$S$62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parSheet" localSheetId="2">rPT!$K$11:$S$14</definedName>
    <definedName name="_xlnm.Print_Area" localSheetId="5">oUnpivotted!$O$11:$T$23</definedName>
    <definedName name="_xlnm.Print_Area" localSheetId="2">rPT!$K$11:$S$14</definedName>
    <definedName name="_xlnm.Print_Area" localSheetId="6">sPivotData!$K$11:$S$15</definedName>
    <definedName name="_xlnm.Print_Titles" localSheetId="0">Guide!$1:$4</definedName>
    <definedName name="_xlnm.Print_Titles" localSheetId="5">oUnpivotted!$O:$O,oUnpivotted!$11:$14</definedName>
    <definedName name="_xlnm.Print_Titles" localSheetId="1">Params!$1:$4</definedName>
    <definedName name="_xlnm.Print_Titles" localSheetId="2">rPT!$K:$K,rPT!$11:$14</definedName>
    <definedName name="_xlnm.Print_Titles" localSheetId="6">sPivotData!$K:$K,sPivotData!$11:$14</definedName>
    <definedName name="ttSheet" localSheetId="0">Guide!$A$4:$D$4</definedName>
    <definedName name="ttSheet" localSheetId="5">oUnpivotted!$O$14:$T$14</definedName>
    <definedName name="ttSheet" localSheetId="1">Params!$A$4:$B$4</definedName>
    <definedName name="ttSheet" localSheetId="2">rPT!$K$14:$S$14</definedName>
    <definedName name="ttSheet" localSheetId="6">sPivotData!$K$14:$S$14</definedName>
  </definedNames>
  <calcPr calcId="191029" calcMode="autoNoTable" iterateCount="1" calcOnSave="0"/>
  <pivotCaches>
    <pivotCache cacheId="19" r:id="rId8"/>
    <pivotCache cacheId="61" r:id="rId9"/>
  </pivotCaches>
  <extLst>
    <ext xmlns:x15="http://schemas.microsoft.com/office/spreadsheetml/2010/11/main" uri="{FCE2AD5D-F65C-4FA6-A056-5C36A1767C68}">
      <x15:dataModel>
        <x15:modelTables>
          <x15:modelTable id="dtbUnpivoted" name="dtbUnpivoted" connection="WorksheetConnection_Unpivot.xlsm!dtbUnpivoted"/>
        </x15:modelTables>
        <x15:extLst>
          <ext xmlns:x16="http://schemas.microsoft.com/office/spreadsheetml/2014/11/main" uri="{9835A34E-60A6-4A7C-AAB8-D5F71C897F49}">
            <x16:modelTimeGroupings>
              <x16:modelTimeGrouping tableName="dtbUnpivoted" columnName="MonthDate" columnId="MonthDate">
                <x16:calculatedTimeColumn columnName="MonthDate (Year)" columnId="MonthDate (Year)" contentType="years" isSelected="1"/>
                <x16:calculatedTimeColumn columnName="MonthDate (Quarter)" columnId="MonthDate (Quarter)" contentType="quarters" isSelected="1"/>
                <x16:calculatedTimeColumn columnName="MonthDate (Month Index)" columnId="MonthDate (Month Index)" contentType="monthsindex" isSelected="1"/>
                <x16:calculatedTimeColumn columnName="MonthDate (Month)" columnId="Month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" l="1"/>
  <c r="I21" i="1"/>
  <c r="I20" i="1"/>
  <c r="I19" i="1"/>
  <c r="I18" i="1"/>
  <c r="I17" i="1"/>
  <c r="I16" i="1"/>
  <c r="I15" i="1"/>
  <c r="B12" i="5"/>
  <c r="A2" i="5"/>
  <c r="A2" i="6"/>
  <c r="A3" i="6"/>
  <c r="C8" i="6"/>
  <c r="C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140A99-985A-4B90-905A-BB712ECB8872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D97EF754-4D1B-4A8B-8EEF-7DEA03D753A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86EF67F7-EC8D-4D07-AE1F-151036043A54}" name="WorksheetConnection_Unpivot.xlsm!dtbUnpivoted" type="102" refreshedVersion="8" minRefreshableVersion="5">
    <extLst>
      <ext xmlns:x15="http://schemas.microsoft.com/office/spreadsheetml/2010/11/main" uri="{DE250136-89BD-433C-8126-D09CA5730AF9}">
        <x15:connection id="dtbUnpivoted" autoDelete="1">
          <x15:rangePr sourceName="_xlcn.WorksheetConnection_Unpivot.xlsmdtbUnpivoted1"/>
        </x15:connection>
      </ext>
    </extLst>
  </connection>
</connections>
</file>

<file path=xl/sharedStrings.xml><?xml version="1.0" encoding="utf-8"?>
<sst xmlns="http://schemas.openxmlformats.org/spreadsheetml/2006/main" count="212" uniqueCount="71">
  <si>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</si>
  <si>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</si>
  <si>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</si>
  <si>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</si>
  <si>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</si>
  <si>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</si>
  <si>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</si>
  <si>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</si>
  <si>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</si>
  <si>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</si>
  <si>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</si>
  <si>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</si>
  <si>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</si>
  <si>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</si>
  <si>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</si>
  <si>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</si>
  <si>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</si>
  <si>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</si>
  <si>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</si>
  <si>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</si>
  <si>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</si>
  <si>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</si>
  <si>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</si>
  <si>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</si>
  <si>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</si>
  <si>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</si>
  <si>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EXAMPLE Text file imported from ABC system.</t>
  </si>
  <si>
    <t>Diagram of data flow</t>
  </si>
  <si>
    <t>EXAMPLE Adjustments input onto mSheet4. Other inputs on mSheet3.</t>
  </si>
  <si>
    <t>EXAMPLE Totals of various grouping of codes on mSheet3</t>
  </si>
  <si>
    <t>EXAMPLE mSheet2</t>
  </si>
  <si>
    <t>EXAMPLE mSheet4 has output to Summary.xls. oDataSheet has output for text file imported by POWA system.</t>
  </si>
  <si>
    <t>-</t>
  </si>
  <si>
    <t>EXAMPLE Jane Smith provided the rates table.</t>
  </si>
  <si>
    <t>Usage tasks</t>
  </si>
  <si>
    <t>Maintenance tasks</t>
  </si>
  <si>
    <t>Task 1</t>
  </si>
  <si>
    <t>Task</t>
  </si>
  <si>
    <t>Application filename prefix</t>
  </si>
  <si>
    <t>EXAMPLE 01-Mar-2014 PJO Included new rates for Apr-Mar year.</t>
  </si>
  <si>
    <t>Files</t>
  </si>
  <si>
    <t>List the different files and any file-naming convention.</t>
  </si>
  <si>
    <t> </t>
  </si>
  <si>
    <t>Paul</t>
  </si>
  <si>
    <t>21-Jan-2024A</t>
  </si>
  <si>
    <t>Alpha</t>
  </si>
  <si>
    <t>Beta</t>
  </si>
  <si>
    <t>Gamma</t>
  </si>
  <si>
    <t>Delta</t>
  </si>
  <si>
    <t>Year</t>
  </si>
  <si>
    <t>Item</t>
  </si>
  <si>
    <t>Jan</t>
  </si>
  <si>
    <t>Feb</t>
  </si>
  <si>
    <t>Mar</t>
  </si>
  <si>
    <t>Apr</t>
  </si>
  <si>
    <t>May</t>
  </si>
  <si>
    <t>Jun</t>
  </si>
  <si>
    <t>Unpivot source</t>
  </si>
  <si>
    <t xml:space="preserve">  </t>
  </si>
  <si>
    <t xml:space="preserve"> </t>
  </si>
  <si>
    <t>Value</t>
  </si>
  <si>
    <t>Unpivoted</t>
  </si>
  <si>
    <t>Month</t>
  </si>
  <si>
    <t>Row Labels</t>
  </si>
  <si>
    <t>Grand Total</t>
  </si>
  <si>
    <t>Sum of Value</t>
  </si>
  <si>
    <t>Column Labels</t>
  </si>
  <si>
    <t>Pivot table</t>
  </si>
  <si>
    <t>2023 Total</t>
  </si>
  <si>
    <t>2024 Total</t>
  </si>
  <si>
    <t>MonthDate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</si>
</sst>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mmm"/>
  </numFmts>
  <fonts count="31" x14ac:knownFonts="1">
    <font>
      <sz val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40">
    <xf numFmtId="0" fontId="0" fillId="0" borderId="0" applyFill="0" applyBorder="0">
      <alignment vertical="top"/>
    </xf>
    <xf numFmtId="164" fontId="4" fillId="0" borderId="0" applyFill="0" applyBorder="0">
      <alignment vertical="top"/>
    </xf>
    <xf numFmtId="184" fontId="4" fillId="0" borderId="0" applyFill="0" applyBorder="0">
      <alignment vertical="top"/>
    </xf>
    <xf numFmtId="185" fontId="4" fillId="0" borderId="0" applyFill="0" applyBorder="0">
      <alignment vertical="top"/>
    </xf>
    <xf numFmtId="165" fontId="4" fillId="0" borderId="0" applyFill="0" applyBorder="0">
      <alignment vertical="top"/>
    </xf>
    <xf numFmtId="166" fontId="4" fillId="0" borderId="0" applyFill="0" applyBorder="0">
      <alignment vertical="top"/>
    </xf>
    <xf numFmtId="167" fontId="4" fillId="0" borderId="0" applyFill="0" applyBorder="0">
      <alignment vertical="top"/>
    </xf>
    <xf numFmtId="168" fontId="4" fillId="0" borderId="0" applyFill="0" applyBorder="0">
      <alignment vertical="top"/>
    </xf>
    <xf numFmtId="183" fontId="4" fillId="0" borderId="0" applyFill="0" applyBorder="0">
      <alignment vertical="top"/>
    </xf>
    <xf numFmtId="174" fontId="4" fillId="0" borderId="0" applyFill="0" applyBorder="0">
      <alignment vertical="top"/>
    </xf>
    <xf numFmtId="175" fontId="4" fillId="0" borderId="0" applyFill="0" applyBorder="0">
      <alignment vertical="top"/>
    </xf>
    <xf numFmtId="176" fontId="4" fillId="0" borderId="0" applyFill="0" applyBorder="0">
      <alignment vertical="top"/>
    </xf>
    <xf numFmtId="182" fontId="4" fillId="0" borderId="0" applyFill="0" applyBorder="0">
      <alignment vertical="top"/>
    </xf>
    <xf numFmtId="177" fontId="4" fillId="0" borderId="0" applyFill="0" applyBorder="0">
      <alignment vertical="top"/>
    </xf>
    <xf numFmtId="177" fontId="4" fillId="0" borderId="0" applyFill="0" applyBorder="0">
      <alignment horizontal="center" vertical="top"/>
    </xf>
    <xf numFmtId="169" fontId="4" fillId="0" borderId="0" applyFill="0" applyBorder="0">
      <alignment vertical="top"/>
    </xf>
    <xf numFmtId="178" fontId="4" fillId="0" borderId="0" applyFill="0" applyBorder="0">
      <alignment vertical="top"/>
    </xf>
    <xf numFmtId="179" fontId="4" fillId="0" borderId="0" applyFill="0" applyBorder="0">
      <alignment vertical="top"/>
    </xf>
    <xf numFmtId="170" fontId="4" fillId="0" borderId="0" applyFill="0" applyBorder="0">
      <alignment vertical="top"/>
    </xf>
    <xf numFmtId="171" fontId="5" fillId="0" borderId="0" applyFill="0" applyBorder="0">
      <alignment vertical="top"/>
    </xf>
    <xf numFmtId="172" fontId="4" fillId="0" borderId="0" applyFill="0" applyBorder="0">
      <alignment vertical="top"/>
    </xf>
    <xf numFmtId="173" fontId="4" fillId="0" borderId="0" applyFill="0" applyBorder="0">
      <alignment vertical="top"/>
    </xf>
    <xf numFmtId="186" fontId="4" fillId="0" borderId="0" applyFill="0" applyBorder="0">
      <alignment vertical="top"/>
    </xf>
    <xf numFmtId="187" fontId="4" fillId="0" borderId="0" applyFill="0" applyBorder="0">
      <alignment vertical="top"/>
    </xf>
    <xf numFmtId="188" fontId="4" fillId="0" borderId="0" applyFill="0" applyBorder="0">
      <alignment vertical="top"/>
    </xf>
    <xf numFmtId="189" fontId="4" fillId="0" borderId="0" applyFill="0" applyBorder="0">
      <alignment vertical="top"/>
    </xf>
    <xf numFmtId="190" fontId="4" fillId="0" borderId="0" applyFill="0" applyBorder="0">
      <alignment vertical="top"/>
    </xf>
    <xf numFmtId="191" fontId="4" fillId="0" borderId="0" applyFill="0" applyBorder="0">
      <alignment vertical="top"/>
    </xf>
    <xf numFmtId="192" fontId="4" fillId="0" borderId="0" applyFill="0" applyBorder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27" fillId="0" borderId="0" applyFill="0" applyBorder="0">
      <alignment vertical="top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7" fillId="0" borderId="0" applyFill="0" applyBorder="0">
      <alignment horizontal="left" vertical="top"/>
      <protection hidden="1"/>
    </xf>
    <xf numFmtId="0" fontId="7" fillId="0" borderId="0" applyFill="0" applyBorder="0">
      <alignment horizontal="left" vertical="top" indent="1"/>
      <protection hidden="1"/>
    </xf>
    <xf numFmtId="0" fontId="7" fillId="0" borderId="0" applyFill="0" applyBorder="0">
      <alignment horizontal="left" vertical="top" indent="2"/>
      <protection hidden="1"/>
    </xf>
    <xf numFmtId="0" fontId="7" fillId="0" borderId="0" applyFill="0" applyBorder="0">
      <alignment horizontal="left" vertical="top" indent="3"/>
      <protection hidden="1"/>
    </xf>
    <xf numFmtId="193" fontId="7" fillId="0" borderId="0" applyNumberFormat="0" applyFill="0" applyBorder="0" applyAlignment="0" applyProtection="0">
      <protection locked="0"/>
    </xf>
    <xf numFmtId="164" fontId="3" fillId="0" borderId="0" applyFill="0" applyBorder="0">
      <alignment vertical="top"/>
      <protection locked="0"/>
    </xf>
    <xf numFmtId="184" fontId="3" fillId="0" borderId="0" applyFill="0" applyBorder="0">
      <alignment vertical="top"/>
      <protection locked="0"/>
    </xf>
    <xf numFmtId="185" fontId="3" fillId="0" borderId="0" applyFill="0" applyBorder="0">
      <alignment vertical="top"/>
      <protection locked="0"/>
    </xf>
    <xf numFmtId="165" fontId="3" fillId="0" borderId="0" applyFill="0" applyBorder="0">
      <alignment vertical="top"/>
      <protection locked="0"/>
    </xf>
    <xf numFmtId="166" fontId="3" fillId="0" borderId="0" applyFill="0" applyBorder="0">
      <alignment vertical="top"/>
      <protection locked="0"/>
    </xf>
    <xf numFmtId="167" fontId="3" fillId="0" borderId="0" applyFill="0" applyBorder="0">
      <alignment vertical="top"/>
      <protection locked="0"/>
    </xf>
    <xf numFmtId="168" fontId="3" fillId="0" borderId="0" applyFill="0" applyBorder="0">
      <alignment vertical="top"/>
      <protection locked="0"/>
    </xf>
    <xf numFmtId="183" fontId="3" fillId="0" borderId="0" applyFill="0" applyBorder="0">
      <alignment vertical="top"/>
      <protection locked="0"/>
    </xf>
    <xf numFmtId="180" fontId="3" fillId="0" borderId="0" applyFill="0" applyBorder="0">
      <alignment vertical="top"/>
      <protection locked="0"/>
    </xf>
    <xf numFmtId="181" fontId="3" fillId="0" borderId="0" applyFill="0" applyBorder="0">
      <alignment vertical="top"/>
      <protection locked="0"/>
    </xf>
    <xf numFmtId="176" fontId="3" fillId="0" borderId="0" applyFill="0" applyBorder="0">
      <alignment vertical="top"/>
      <protection locked="0"/>
    </xf>
    <xf numFmtId="182" fontId="3" fillId="0" borderId="0" applyFill="0" applyBorder="0">
      <alignment vertical="top"/>
      <protection locked="0"/>
    </xf>
    <xf numFmtId="177" fontId="3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169" fontId="8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49" fontId="3" fillId="0" borderId="0" applyFill="0" applyBorder="0">
      <alignment vertical="top"/>
      <protection locked="0"/>
    </xf>
    <xf numFmtId="49" fontId="8" fillId="0" borderId="0" applyFill="0" applyBorder="0">
      <alignment vertical="top"/>
      <protection locked="0"/>
    </xf>
    <xf numFmtId="0" fontId="3" fillId="0" borderId="0" applyFill="0" applyBorder="0">
      <alignment vertical="top" wrapText="1"/>
      <protection locked="0"/>
    </xf>
    <xf numFmtId="178" fontId="3" fillId="0" borderId="0" applyFill="0" applyBorder="0">
      <alignment vertical="top"/>
      <protection locked="0"/>
    </xf>
    <xf numFmtId="179" fontId="3" fillId="0" borderId="0" applyFill="0" applyBorder="0">
      <alignment vertical="top"/>
      <protection locked="0"/>
    </xf>
    <xf numFmtId="170" fontId="3" fillId="0" borderId="0" applyFill="0" applyBorder="0">
      <alignment vertical="top"/>
      <protection locked="0"/>
    </xf>
    <xf numFmtId="171" fontId="3" fillId="0" borderId="0" applyFill="0" applyBorder="0">
      <alignment vertical="top"/>
      <protection locked="0"/>
    </xf>
    <xf numFmtId="172" fontId="3" fillId="0" borderId="0" applyFill="0" applyBorder="0">
      <alignment vertical="top"/>
      <protection locked="0"/>
    </xf>
    <xf numFmtId="173" fontId="3" fillId="0" borderId="0" applyFill="0" applyBorder="0">
      <alignment vertical="top"/>
      <protection locked="0"/>
    </xf>
    <xf numFmtId="186" fontId="3" fillId="0" borderId="0" applyFill="0" applyBorder="0">
      <alignment vertical="top"/>
      <protection locked="0"/>
    </xf>
    <xf numFmtId="187" fontId="3" fillId="0" borderId="0" applyFill="0" applyBorder="0">
      <alignment vertical="top"/>
      <protection locked="0"/>
    </xf>
    <xf numFmtId="188" fontId="3" fillId="0" borderId="0" applyFill="0" applyBorder="0">
      <alignment vertical="top"/>
      <protection locked="0"/>
    </xf>
    <xf numFmtId="189" fontId="3" fillId="0" borderId="0" applyFill="0" applyBorder="0">
      <alignment vertical="top"/>
      <protection locked="0"/>
    </xf>
    <xf numFmtId="190" fontId="3" fillId="0" borderId="0" applyFill="0" applyBorder="0">
      <alignment vertical="top"/>
      <protection locked="0"/>
    </xf>
    <xf numFmtId="191" fontId="3" fillId="0" borderId="0" applyFill="0" applyBorder="0">
      <alignment vertical="top"/>
      <protection locked="0"/>
    </xf>
    <xf numFmtId="192" fontId="3" fillId="0" borderId="0" applyFill="0" applyBorder="0">
      <alignment vertical="top"/>
      <protection locked="0"/>
    </xf>
    <xf numFmtId="49" fontId="3" fillId="0" borderId="0" applyFill="0" applyBorder="0">
      <alignment horizontal="left" vertical="top"/>
      <protection locked="0"/>
    </xf>
    <xf numFmtId="49" fontId="3" fillId="0" borderId="0" applyFill="0" applyBorder="0">
      <alignment horizontal="left" vertical="top" indent="1"/>
      <protection locked="0"/>
    </xf>
    <xf numFmtId="49" fontId="3" fillId="0" borderId="0" applyFill="0" applyBorder="0">
      <alignment horizontal="left" vertical="top" indent="2"/>
      <protection locked="0"/>
    </xf>
    <xf numFmtId="49" fontId="3" fillId="0" borderId="0" applyFill="0" applyBorder="0">
      <alignment horizontal="left" vertical="top" indent="3"/>
      <protection locked="0"/>
    </xf>
    <xf numFmtId="49" fontId="3" fillId="0" borderId="0" applyFill="0" applyBorder="0">
      <alignment horizontal="left" vertical="top" indent="4"/>
      <protection locked="0"/>
    </xf>
    <xf numFmtId="49" fontId="3" fillId="0" borderId="0" applyFill="0" applyBorder="0">
      <alignment horizontal="center"/>
      <protection locked="0"/>
    </xf>
    <xf numFmtId="49" fontId="3" fillId="0" borderId="0" applyFill="0" applyBorder="0">
      <alignment horizontal="center" wrapText="1"/>
      <protection locked="0"/>
    </xf>
    <xf numFmtId="49" fontId="4" fillId="0" borderId="0" applyFill="0" applyBorder="0">
      <alignment vertical="top"/>
    </xf>
    <xf numFmtId="0" fontId="4" fillId="0" borderId="0" applyFill="0" applyBorder="0">
      <alignment vertical="top" wrapText="1"/>
    </xf>
    <xf numFmtId="0" fontId="2" fillId="0" borderId="0" applyFill="0" applyBorder="0">
      <alignment vertical="top"/>
    </xf>
    <xf numFmtId="0" fontId="2" fillId="0" borderId="0" applyFill="0" applyBorder="0">
      <alignment horizontal="left" vertical="top" indent="1"/>
    </xf>
    <xf numFmtId="0" fontId="2" fillId="0" borderId="0" applyFill="0" applyBorder="0">
      <alignment horizontal="left" vertical="top" indent="2"/>
    </xf>
    <xf numFmtId="0" fontId="2" fillId="0" borderId="0" applyFill="0" applyBorder="0">
      <alignment horizontal="left" vertical="top" indent="3"/>
    </xf>
    <xf numFmtId="0" fontId="4" fillId="0" borderId="0" applyFill="0" applyBorder="0">
      <alignment vertical="top"/>
    </xf>
    <xf numFmtId="0" fontId="4" fillId="0" borderId="0" applyFill="0" applyBorder="0">
      <alignment horizontal="left" vertical="top" indent="1"/>
    </xf>
    <xf numFmtId="0" fontId="4" fillId="0" borderId="0" applyFill="0" applyBorder="0">
      <alignment horizontal="left" vertical="top" indent="2"/>
    </xf>
    <xf numFmtId="0" fontId="4" fillId="0" borderId="0" applyFill="0" applyBorder="0">
      <alignment horizontal="left" vertical="top" indent="3"/>
    </xf>
    <xf numFmtId="0" fontId="4" fillId="0" borderId="0" applyFill="0" applyBorder="0">
      <alignment horizontal="left" vertical="top" indent="4"/>
    </xf>
    <xf numFmtId="177" fontId="4" fillId="0" borderId="0" applyFill="0" applyBorder="0">
      <alignment horizontal="center"/>
    </xf>
    <xf numFmtId="0" fontId="4" fillId="0" borderId="0" applyFill="0" applyBorder="0">
      <alignment horizontal="center"/>
    </xf>
    <xf numFmtId="0" fontId="4" fillId="2" borderId="0" applyFill="0" applyBorder="0">
      <alignment horizontal="left"/>
    </xf>
    <xf numFmtId="0" fontId="4" fillId="0" borderId="0" applyFill="0" applyBorder="0">
      <alignment horizontal="center" wrapText="1"/>
    </xf>
    <xf numFmtId="0" fontId="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0" borderId="10" applyNumberFormat="0" applyFill="0" applyAlignment="0" applyProtection="0"/>
    <xf numFmtId="0" fontId="12" fillId="0" borderId="11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12" applyNumberFormat="0" applyAlignment="0" applyProtection="0"/>
    <xf numFmtId="0" fontId="17" fillId="7" borderId="13" applyNumberFormat="0" applyAlignment="0" applyProtection="0"/>
    <xf numFmtId="0" fontId="18" fillId="7" borderId="12" applyNumberFormat="0" applyAlignment="0" applyProtection="0"/>
    <xf numFmtId="0" fontId="19" fillId="0" borderId="14" applyNumberFormat="0" applyFill="0" applyAlignment="0" applyProtection="0"/>
    <xf numFmtId="0" fontId="20" fillId="8" borderId="15" applyNumberFormat="0" applyAlignment="0" applyProtection="0"/>
    <xf numFmtId="0" fontId="21" fillId="0" borderId="0" applyNumberFormat="0" applyFill="0" applyBorder="0" applyAlignment="0" applyProtection="0"/>
    <xf numFmtId="0" fontId="4" fillId="9" borderId="16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7" applyNumberFormat="0" applyFill="0" applyAlignment="0" applyProtection="0"/>
    <xf numFmtId="0" fontId="24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24" fillId="33" borderId="0" applyNumberFormat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4" fillId="0" borderId="3" xfId="0" applyFont="1" applyBorder="1">
      <alignment vertical="top"/>
    </xf>
    <xf numFmtId="0" fontId="0" fillId="0" borderId="0" xfId="0" applyFill="1" applyBorder="1">
      <alignment vertical="top"/>
    </xf>
    <xf numFmtId="0" fontId="2" fillId="0" borderId="0" xfId="80">
      <alignment vertical="top"/>
    </xf>
    <xf numFmtId="0" fontId="4" fillId="0" borderId="0" xfId="85">
      <alignment horizontal="left" vertical="top" indent="1"/>
    </xf>
    <xf numFmtId="0" fontId="3" fillId="0" borderId="0" xfId="57">
      <alignment vertical="top" wrapText="1"/>
      <protection locked="0"/>
    </xf>
    <xf numFmtId="0" fontId="4" fillId="0" borderId="0" xfId="86">
      <alignment horizontal="left" vertical="top" indent="2"/>
    </xf>
    <xf numFmtId="0" fontId="4" fillId="0" borderId="0" xfId="85" applyBorder="1">
      <alignment horizontal="left" vertical="top" indent="1"/>
    </xf>
    <xf numFmtId="0" fontId="4" fillId="0" borderId="0" xfId="86" applyBorder="1">
      <alignment horizontal="left" vertical="top" indent="2"/>
    </xf>
    <xf numFmtId="49" fontId="3" fillId="0" borderId="0" xfId="71">
      <alignment horizontal="left" vertical="top"/>
      <protection locked="0"/>
    </xf>
    <xf numFmtId="0" fontId="2" fillId="0" borderId="0" xfId="80" applyBorder="1">
      <alignment vertical="top"/>
    </xf>
    <xf numFmtId="0" fontId="2" fillId="0" borderId="0" xfId="81" applyBorder="1">
      <alignment horizontal="left" vertical="top" indent="1"/>
    </xf>
    <xf numFmtId="168" fontId="3" fillId="0" borderId="1" xfId="45" applyBorder="1">
      <alignment vertical="top"/>
      <protection locked="0"/>
    </xf>
    <xf numFmtId="0" fontId="2" fillId="0" borderId="0" xfId="81">
      <alignment horizontal="left" vertical="top" indent="1"/>
    </xf>
    <xf numFmtId="0" fontId="2" fillId="0" borderId="0" xfId="82" applyBorder="1">
      <alignment horizontal="left" vertical="top" indent="2"/>
    </xf>
    <xf numFmtId="0" fontId="28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8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2" fillId="34" borderId="3" xfId="0" applyFont="1" applyFill="1" applyBorder="1">
      <alignment vertical="top"/>
    </xf>
    <xf numFmtId="0" fontId="2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4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8" fillId="35" borderId="5" xfId="31" applyFill="1" applyBorder="1">
      <alignment vertical="top"/>
    </xf>
    <xf numFmtId="0" fontId="0" fillId="35" borderId="6" xfId="0" applyFill="1" applyBorder="1">
      <alignment vertical="top"/>
    </xf>
    <xf numFmtId="0" fontId="4" fillId="35" borderId="6" xfId="91" applyFill="1" applyBorder="1">
      <alignment horizontal="left"/>
    </xf>
    <xf numFmtId="0" fontId="0" fillId="35" borderId="7" xfId="0" applyFill="1" applyBorder="1">
      <alignment vertical="top"/>
    </xf>
    <xf numFmtId="0" fontId="28" fillId="35" borderId="3" xfId="31" applyFill="1" applyBorder="1">
      <alignment vertical="top"/>
    </xf>
    <xf numFmtId="0" fontId="0" fillId="35" borderId="0" xfId="0" applyFill="1" applyBorder="1">
      <alignment vertical="top"/>
    </xf>
    <xf numFmtId="0" fontId="4" fillId="35" borderId="0" xfId="91" applyFill="1" applyBorder="1">
      <alignment horizontal="left"/>
    </xf>
    <xf numFmtId="0" fontId="0" fillId="35" borderId="1" xfId="0" applyFill="1" applyBorder="1">
      <alignment vertical="top"/>
    </xf>
    <xf numFmtId="0" fontId="29" fillId="35" borderId="3" xfId="32" applyFill="1" applyBorder="1">
      <alignment vertical="top"/>
    </xf>
    <xf numFmtId="0" fontId="4" fillId="35" borderId="8" xfId="92" applyFill="1" applyBorder="1">
      <alignment horizontal="center" wrapText="1"/>
    </xf>
    <xf numFmtId="0" fontId="0" fillId="35" borderId="2" xfId="92" applyFont="1" applyFill="1" applyBorder="1">
      <alignment horizontal="center" wrapText="1"/>
    </xf>
    <xf numFmtId="0" fontId="0" fillId="35" borderId="4" xfId="92" applyFont="1" applyFill="1" applyBorder="1">
      <alignment horizontal="center" wrapText="1"/>
    </xf>
    <xf numFmtId="0" fontId="0" fillId="0" borderId="0" xfId="0" applyNumberFormat="1">
      <alignment vertical="top"/>
    </xf>
    <xf numFmtId="0" fontId="4" fillId="35" borderId="7" xfId="91" applyFill="1" applyBorder="1">
      <alignment horizontal="left"/>
    </xf>
    <xf numFmtId="0" fontId="4" fillId="35" borderId="1" xfId="91" applyFill="1" applyBorder="1">
      <alignment horizontal="left"/>
    </xf>
    <xf numFmtId="0" fontId="4" fillId="35" borderId="2" xfId="92" applyFill="1" applyBorder="1">
      <alignment horizontal="center" wrapText="1"/>
    </xf>
    <xf numFmtId="0" fontId="4" fillId="35" borderId="4" xfId="92" applyFill="1" applyBorder="1">
      <alignment horizontal="center" wrapText="1"/>
    </xf>
    <xf numFmtId="0" fontId="0" fillId="0" borderId="18" xfId="0" applyBorder="1">
      <alignment vertical="top"/>
    </xf>
    <xf numFmtId="0" fontId="0" fillId="0" borderId="19" xfId="0" applyBorder="1">
      <alignment vertical="top"/>
    </xf>
    <xf numFmtId="0" fontId="0" fillId="0" borderId="20" xfId="0" applyBorder="1">
      <alignment vertical="top"/>
    </xf>
    <xf numFmtId="0" fontId="0" fillId="0" borderId="21" xfId="0" applyBorder="1">
      <alignment vertical="top"/>
    </xf>
    <xf numFmtId="0" fontId="0" fillId="0" borderId="22" xfId="0" applyBorder="1">
      <alignment vertical="top"/>
    </xf>
    <xf numFmtId="0" fontId="0" fillId="0" borderId="23" xfId="0" applyBorder="1">
      <alignment vertical="top"/>
    </xf>
    <xf numFmtId="0" fontId="0" fillId="0" borderId="24" xfId="0" applyBorder="1">
      <alignment vertical="top"/>
    </xf>
    <xf numFmtId="0" fontId="0" fillId="0" borderId="25" xfId="0" applyBorder="1">
      <alignment vertical="top"/>
    </xf>
    <xf numFmtId="0" fontId="0" fillId="0" borderId="26" xfId="0" applyBorder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194" fontId="0" fillId="0" borderId="0" xfId="0" applyNumberFormat="1">
      <alignment vertical="top"/>
    </xf>
    <xf numFmtId="0" fontId="4" fillId="35" borderId="8" xfId="92" applyFill="1" applyBorder="1" applyAlignment="1">
      <alignment horizontal="left" wrapText="1"/>
    </xf>
  </cellXfs>
  <cellStyles count="140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42"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numFmt numFmtId="194" formatCode="mmm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D8E4BC"/>
        </patternFill>
      </fill>
    </dxf>
    <dxf>
      <border outline="0">
        <bottom style="medium">
          <color indexed="64"/>
        </bottom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41"/>
      <tableStyleElement type="headerRow" dxfId="40"/>
      <tableStyleElement type="totalRow" dxfId="39"/>
      <tableStyleElement type="firstRowStripe" dxfId="38"/>
      <tableStyleElement type="firstColumnStripe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ESPPivotTable 2" table="0" count="11" xr9:uid="{00000000-0011-0000-FFFF-FFFF01000000}">
      <tableStyleElement type="wholeTable" dxfId="30"/>
      <tableStyleElement type="headerRow" dxfId="29"/>
      <tableStyleElement type="totalRow" dxfId="28"/>
      <tableStyleElement type="firstRowStripe" dxfId="27"/>
      <tableStyleElement type="firstColumnStripe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ESPSlicer" pivot="0" table="0" count="10" xr9:uid="{00000000-0011-0000-FFFF-FFFF02000000}">
      <tableStyleElement type="wholeTable" dxfId="19"/>
      <tableStyleElement type="headerRow" dxfId="18"/>
    </tableStyle>
    <tableStyle name="ESPSlicer 2" pivot="0" table="0" count="10" xr9:uid="{00000000-0011-0000-FFFF-FFFF03000000}">
      <tableStyleElement type="wholeTable" dxfId="17"/>
      <tableStyleElement type="headerRow" dxfId="16"/>
    </tableStyle>
    <tableStyle name="ESPTable" pivot="0" count="5" xr9:uid="{00000000-0011-0000-FFFF-FFFF04000000}">
      <tableStyleElement type="wholeTable" dxfId="15"/>
      <tableStyleElement type="headerRow" dxfId="14"/>
      <tableStyleElement type="totalRow" dxfId="13"/>
      <tableStyleElement type="firstRowStripe" dxfId="12"/>
      <tableStyleElement type="firstColumnStripe" dxfId="11"/>
    </tableStyle>
    <tableStyle name="ESPTimeLine" pivot="0" table="0" count="9" xr9:uid="{00000000-0011-0000-FFFF-FFFF05000000}">
      <tableStyleElement type="wholeTable" dxfId="10"/>
      <tableStyleElement type="headerRow" dxfId="9"/>
    </tableStyle>
    <tableStyle name="ESPTimeLine 2" pivot="0" table="0" count="9" xr9:uid="{00000000-0011-0000-FFFF-FFFF06000000}">
      <tableStyleElement type="wholeTable" dxfId="8"/>
      <tableStyleElement type="headerRow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1533525</xdr:colOff>
      <xdr:row>24</xdr:row>
      <xdr:rowOff>0</xdr:rowOff>
    </xdr:from>
    <xdr:to>
      <xdr:col>2</xdr:col>
      <xdr:colOff>2514600</xdr:colOff>
      <xdr:row>26</xdr:row>
      <xdr:rowOff>114300</xdr:rowOff>
    </xdr:to>
    <xdr:sp macro="" textlink="">
      <xdr:nvSpPr>
        <xdr:cNvPr id="5152" name="ESPFlowT5">
          <a:extLst>
            <a:ext uri="{FF2B5EF4-FFF2-40B4-BE49-F238E27FC236}">
              <a16:creationId xmlns:a16="http://schemas.microsoft.com/office/drawing/2014/main" id="{00000000-0008-0000-0000-000020140000}"/>
            </a:ext>
          </a:extLst>
        </xdr:cNvPr>
        <xdr:cNvSpPr txBox="1">
          <a:spLocks noChangeArrowheads="1"/>
        </xdr:cNvSpPr>
      </xdr:nvSpPr>
      <xdr:spPr bwMode="auto">
        <a:xfrm>
          <a:off x="2838450" y="4267200"/>
          <a:ext cx="981075" cy="400050"/>
        </a:xfrm>
        <a:prstGeom prst="rect">
          <a:avLst/>
        </a:prstGeom>
        <a:solidFill>
          <a:srgbClr val="00B05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238125</xdr:colOff>
      <xdr:row>24</xdr:row>
      <xdr:rowOff>0</xdr:rowOff>
    </xdr:from>
    <xdr:to>
      <xdr:col>2</xdr:col>
      <xdr:colOff>1219200</xdr:colOff>
      <xdr:row>26</xdr:row>
      <xdr:rowOff>114300</xdr:rowOff>
    </xdr:to>
    <xdr:sp macro="" textlink="">
      <xdr:nvSpPr>
        <xdr:cNvPr id="5153" name="ESPFlowT3">
          <a:extLst>
            <a:ext uri="{FF2B5EF4-FFF2-40B4-BE49-F238E27FC236}">
              <a16:creationId xmlns:a16="http://schemas.microsoft.com/office/drawing/2014/main" id="{00000000-0008-0000-0000-000021140000}"/>
            </a:ext>
          </a:extLst>
        </xdr:cNvPr>
        <xdr:cNvSpPr txBox="1">
          <a:spLocks noChangeArrowheads="1"/>
        </xdr:cNvSpPr>
      </xdr:nvSpPr>
      <xdr:spPr bwMode="auto">
        <a:xfrm>
          <a:off x="1543050" y="4267200"/>
          <a:ext cx="981075" cy="400050"/>
        </a:xfrm>
        <a:prstGeom prst="rect">
          <a:avLst/>
        </a:prstGeom>
        <a:solidFill>
          <a:srgbClr val="C0BFB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20</xdr:row>
      <xdr:rowOff>0</xdr:rowOff>
    </xdr:from>
    <xdr:to>
      <xdr:col>1</xdr:col>
      <xdr:colOff>838200</xdr:colOff>
      <xdr:row>22</xdr:row>
      <xdr:rowOff>114300</xdr:rowOff>
    </xdr:to>
    <xdr:sp macro="" textlink="">
      <xdr:nvSpPr>
        <xdr:cNvPr id="5154" name="ESPFlowT1">
          <a:extLst>
            <a:ext uri="{FF2B5EF4-FFF2-40B4-BE49-F238E27FC236}">
              <a16:creationId xmlns:a16="http://schemas.microsoft.com/office/drawing/2014/main" id="{00000000-0008-0000-0000-000022140000}"/>
            </a:ext>
          </a:extLst>
        </xdr:cNvPr>
        <xdr:cNvSpPr txBox="1">
          <a:spLocks noChangeArrowheads="1"/>
        </xdr:cNvSpPr>
      </xdr:nvSpPr>
      <xdr:spPr bwMode="auto">
        <a:xfrm>
          <a:off x="257175" y="36957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24</xdr:row>
      <xdr:rowOff>0</xdr:rowOff>
    </xdr:from>
    <xdr:to>
      <xdr:col>1</xdr:col>
      <xdr:colOff>838200</xdr:colOff>
      <xdr:row>26</xdr:row>
      <xdr:rowOff>114300</xdr:rowOff>
    </xdr:to>
    <xdr:sp macro="" textlink="">
      <xdr:nvSpPr>
        <xdr:cNvPr id="5155" name="ESPFlowT2">
          <a:extLst>
            <a:ext uri="{FF2B5EF4-FFF2-40B4-BE49-F238E27FC236}">
              <a16:creationId xmlns:a16="http://schemas.microsoft.com/office/drawing/2014/main" id="{00000000-0008-0000-0000-000023140000}"/>
            </a:ext>
          </a:extLst>
        </xdr:cNvPr>
        <xdr:cNvSpPr txBox="1">
          <a:spLocks noChangeArrowheads="1"/>
        </xdr:cNvSpPr>
      </xdr:nvSpPr>
      <xdr:spPr bwMode="auto">
        <a:xfrm>
          <a:off x="257175" y="42672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1219200</xdr:colOff>
      <xdr:row>25</xdr:row>
      <xdr:rowOff>57150</xdr:rowOff>
    </xdr:from>
    <xdr:to>
      <xdr:col>2</xdr:col>
      <xdr:colOff>1533525</xdr:colOff>
      <xdr:row>25</xdr:row>
      <xdr:rowOff>57150</xdr:rowOff>
    </xdr:to>
    <xdr:cxnSp macro="">
      <xdr:nvCxnSpPr>
        <xdr:cNvPr id="5180" name="ESPFlowA5">
          <a:extLst>
            <a:ext uri="{FF2B5EF4-FFF2-40B4-BE49-F238E27FC236}">
              <a16:creationId xmlns:a16="http://schemas.microsoft.com/office/drawing/2014/main" id="{00000000-0008-0000-0000-00003C140000}"/>
            </a:ext>
          </a:extLst>
        </xdr:cNvPr>
        <xdr:cNvCxnSpPr>
          <a:cxnSpLocks noChangeShapeType="1"/>
          <a:stCxn id="5152" idx="1"/>
          <a:endCxn id="5153" idx="3"/>
        </xdr:cNvCxnSpPr>
      </xdr:nvCxnSpPr>
      <xdr:spPr bwMode="auto">
        <a:xfrm flipH="1">
          <a:off x="25241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21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1" name="ESPFlowA3B">
          <a:extLst>
            <a:ext uri="{FF2B5EF4-FFF2-40B4-BE49-F238E27FC236}">
              <a16:creationId xmlns:a16="http://schemas.microsoft.com/office/drawing/2014/main" id="{00000000-0008-0000-0000-00003D140000}"/>
            </a:ext>
          </a:extLst>
        </xdr:cNvPr>
        <xdr:cNvCxnSpPr>
          <a:cxnSpLocks noChangeShapeType="1"/>
          <a:stCxn id="5153" idx="1"/>
          <a:endCxn id="5154" idx="3"/>
        </xdr:cNvCxnSpPr>
      </xdr:nvCxnSpPr>
      <xdr:spPr bwMode="auto">
        <a:xfrm flipH="1" flipV="1">
          <a:off x="1238250" y="3895725"/>
          <a:ext cx="304800" cy="5715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25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2" name="ESPFlowA3">
          <a:extLst>
            <a:ext uri="{FF2B5EF4-FFF2-40B4-BE49-F238E27FC236}">
              <a16:creationId xmlns:a16="http://schemas.microsoft.com/office/drawing/2014/main" id="{00000000-0008-0000-0000-00003E140000}"/>
            </a:ext>
          </a:extLst>
        </xdr:cNvPr>
        <xdr:cNvCxnSpPr>
          <a:cxnSpLocks noChangeShapeType="1"/>
          <a:stCxn id="5153" idx="1"/>
          <a:endCxn id="5155" idx="3"/>
        </xdr:cNvCxnSpPr>
      </xdr:nvCxnSpPr>
      <xdr:spPr bwMode="auto">
        <a:xfrm flipH="1">
          <a:off x="1238250" y="4467225"/>
          <a:ext cx="3048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1533525</xdr:colOff>
      <xdr:row>20</xdr:row>
      <xdr:rowOff>0</xdr:rowOff>
    </xdr:from>
    <xdr:to>
      <xdr:col>2</xdr:col>
      <xdr:colOff>2514600</xdr:colOff>
      <xdr:row>22</xdr:row>
      <xdr:rowOff>114300</xdr:rowOff>
    </xdr:to>
    <xdr:sp macro="" textlink="">
      <xdr:nvSpPr>
        <xdr:cNvPr id="5160" name="ESPFlowT4">
          <a:extLst>
            <a:ext uri="{FF2B5EF4-FFF2-40B4-BE49-F238E27FC236}">
              <a16:creationId xmlns:a16="http://schemas.microsoft.com/office/drawing/2014/main" id="{00000000-0008-0000-0000-000028140000}"/>
            </a:ext>
          </a:extLst>
        </xdr:cNvPr>
        <xdr:cNvSpPr txBox="1">
          <a:spLocks noChangeArrowheads="1"/>
        </xdr:cNvSpPr>
      </xdr:nvSpPr>
      <xdr:spPr bwMode="auto">
        <a:xfrm>
          <a:off x="2838450" y="3695700"/>
          <a:ext cx="981075" cy="400050"/>
        </a:xfrm>
        <a:prstGeom prst="rect">
          <a:avLst/>
        </a:prstGeom>
        <a:solidFill>
          <a:srgbClr val="C4D69B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2828925</xdr:colOff>
      <xdr:row>24</xdr:row>
      <xdr:rowOff>0</xdr:rowOff>
    </xdr:from>
    <xdr:to>
      <xdr:col>2</xdr:col>
      <xdr:colOff>3810000</xdr:colOff>
      <xdr:row>26</xdr:row>
      <xdr:rowOff>114300</xdr:rowOff>
    </xdr:to>
    <xdr:sp macro="" textlink="">
      <xdr:nvSpPr>
        <xdr:cNvPr id="5161" name="ESPFlowT6">
          <a:extLst>
            <a:ext uri="{FF2B5EF4-FFF2-40B4-BE49-F238E27FC236}">
              <a16:creationId xmlns:a16="http://schemas.microsoft.com/office/drawing/2014/main" id="{00000000-0008-0000-0000-000029140000}"/>
            </a:ext>
          </a:extLst>
        </xdr:cNvPr>
        <xdr:cNvSpPr txBox="1">
          <a:spLocks noChangeArrowheads="1"/>
        </xdr:cNvSpPr>
      </xdr:nvSpPr>
      <xdr:spPr bwMode="auto">
        <a:xfrm>
          <a:off x="4133850" y="4267200"/>
          <a:ext cx="981075" cy="400050"/>
        </a:xfrm>
        <a:prstGeom prst="rect">
          <a:avLst/>
        </a:prstGeom>
        <a:solidFill>
          <a:srgbClr val="BDDE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SourceName</a:t>
          </a:r>
        </a:p>
      </xdr:txBody>
    </xdr:sp>
    <xdr:clientData/>
  </xdr:twoCellAnchor>
  <xdr:twoCellAnchor>
    <xdr:from>
      <xdr:col>2</xdr:col>
      <xdr:colOff>2514600</xdr:colOff>
      <xdr:row>25</xdr:row>
      <xdr:rowOff>57150</xdr:rowOff>
    </xdr:from>
    <xdr:to>
      <xdr:col>2</xdr:col>
      <xdr:colOff>2828925</xdr:colOff>
      <xdr:row>25</xdr:row>
      <xdr:rowOff>57150</xdr:rowOff>
    </xdr:to>
    <xdr:cxnSp macro="">
      <xdr:nvCxnSpPr>
        <xdr:cNvPr id="5185" name="ESPFlowA6">
          <a:extLst>
            <a:ext uri="{FF2B5EF4-FFF2-40B4-BE49-F238E27FC236}">
              <a16:creationId xmlns:a16="http://schemas.microsoft.com/office/drawing/2014/main" id="{00000000-0008-0000-0000-000041140000}"/>
            </a:ext>
          </a:extLst>
        </xdr:cNvPr>
        <xdr:cNvCxnSpPr>
          <a:cxnSpLocks noChangeShapeType="1"/>
          <a:stCxn id="5161" idx="1"/>
          <a:endCxn id="5152" idx="3"/>
        </xdr:cNvCxnSpPr>
      </xdr:nvCxnSpPr>
      <xdr:spPr bwMode="auto">
        <a:xfrm flipH="1">
          <a:off x="38195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733425</xdr:colOff>
      <xdr:row>21</xdr:row>
      <xdr:rowOff>57150</xdr:rowOff>
    </xdr:from>
    <xdr:to>
      <xdr:col>2</xdr:col>
      <xdr:colOff>1533525</xdr:colOff>
      <xdr:row>24</xdr:row>
      <xdr:rowOff>0</xdr:rowOff>
    </xdr:to>
    <xdr:cxnSp macro="">
      <xdr:nvCxnSpPr>
        <xdr:cNvPr id="5186" name="ESPFlowA4">
          <a:extLst>
            <a:ext uri="{FF2B5EF4-FFF2-40B4-BE49-F238E27FC236}">
              <a16:creationId xmlns:a16="http://schemas.microsoft.com/office/drawing/2014/main" id="{00000000-0008-0000-0000-000042140000}"/>
            </a:ext>
          </a:extLst>
        </xdr:cNvPr>
        <xdr:cNvCxnSpPr>
          <a:cxnSpLocks noChangeShapeType="1"/>
          <a:stCxn id="5160" idx="1"/>
          <a:endCxn id="5153" idx="0"/>
        </xdr:cNvCxnSpPr>
      </xdr:nvCxnSpPr>
      <xdr:spPr bwMode="auto">
        <a:xfrm flipH="1">
          <a:off x="2038350" y="3895725"/>
          <a:ext cx="800100" cy="37147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" refreshedDate="45312.820587731483" createdVersion="8" refreshedVersion="8" minRefreshableVersion="3" recordCount="48" xr:uid="{ACE86D75-7A32-43A2-B7D1-8B4B1F52A21D}">
  <cacheSource type="worksheet">
    <worksheetSource name="dtbUnpivoted"/>
  </cacheSource>
  <cacheFields count="6">
    <cacheField name="Year" numFmtId="0">
      <sharedItems containsSemiMixedTypes="0" containsString="0" containsNumber="1" containsInteger="1" minValue="2023" maxValue="2024" count="2">
        <n v="2024"/>
        <n v="2023"/>
      </sharedItems>
    </cacheField>
    <cacheField name="Item" numFmtId="0">
      <sharedItems count="4">
        <s v="Alpha"/>
        <s v="Beta"/>
        <s v="Gamma"/>
        <s v="Delta"/>
      </sharedItems>
    </cacheField>
    <cacheField name="Month" numFmtId="0">
      <sharedItems count="6">
        <s v="Jan"/>
        <s v="Feb"/>
        <s v="Mar"/>
        <s v="Apr"/>
        <s v="May"/>
        <s v="Jun"/>
      </sharedItems>
    </cacheField>
    <cacheField name="Value" numFmtId="0">
      <sharedItems containsSemiMixedTypes="0" containsString="0" containsNumber="1" containsInteger="1" minValue="526" maxValue="1146"/>
    </cacheField>
    <cacheField name="MonthNo" numFmtId="0">
      <sharedItems containsSemiMixedTypes="0" containsString="0" containsNumber="1" containsInteger="1" minValue="1" maxValue="6"/>
    </cacheField>
    <cacheField name="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ul" refreshedDate="45312.833646990737" backgroundQuery="1" createdVersion="8" refreshedVersion="8" minRefreshableVersion="3" recordCount="0" supportSubquery="1" supportAdvancedDrill="1" xr:uid="{913F8A04-8912-496D-BC05-84AFE9E91A40}">
  <cacheSource type="external" connectionId="2"/>
  <cacheFields count="4">
    <cacheField name="[dtbUnpivoted].[MonthDate (Month)].[MonthDate (Month)]" caption="MonthDate (Month)" numFmtId="0" hierarchy="8" level="1">
      <sharedItems count="6">
        <s v="Jan"/>
        <s v="Feb"/>
        <s v="Mar"/>
        <s v="Apr"/>
        <s v="May"/>
        <s v="Jun"/>
      </sharedItems>
    </cacheField>
    <cacheField name="[dtbUnpivoted].[Year].[Year]" caption="Year" numFmtId="0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tbUnpivoted].[Year].&amp;[2023]"/>
            <x15:cachedUniqueName index="1" name="[dtbUnpivoted].[Year].&amp;[2024]"/>
          </x15:cachedUniqueNames>
        </ext>
      </extLst>
    </cacheField>
    <cacheField name="[Measures].[Sum of Value]" caption="Sum of Value" numFmtId="0" hierarchy="12" level="32767"/>
    <cacheField name="[dtbUnpivoted].[Item].[Item]" caption="Item" numFmtId="0" hierarchy="1" level="1">
      <sharedItems count="4">
        <s v="Alpha"/>
        <s v="Beta"/>
        <s v="Delta"/>
        <s v="Gamma"/>
      </sharedItems>
    </cacheField>
  </cacheFields>
  <cacheHierarchies count="13">
    <cacheHierarchy uniqueName="[dtbUnpivoted].[Year]" caption="Year" attribute="1" defaultMemberUniqueName="[dtbUnpivoted].[Year].[All]" allUniqueName="[dtbUnpivoted].[Year].[All]" dimensionUniqueName="[dtbUnpivoted]" displayFolder="" count="2" memberValueDatatype="20" unbalanced="0">
      <fieldsUsage count="2">
        <fieldUsage x="-1"/>
        <fieldUsage x="1"/>
      </fieldsUsage>
    </cacheHierarchy>
    <cacheHierarchy uniqueName="[dtbUnpivoted].[Item]" caption="Item" attribute="1" defaultMemberUniqueName="[dtbUnpivoted].[Item].[All]" allUniqueName="[dtbUnpivoted].[Item].[All]" dimensionUniqueName="[dtbUnpivoted]" displayFolder="" count="2" memberValueDatatype="130" unbalanced="0">
      <fieldsUsage count="2">
        <fieldUsage x="-1"/>
        <fieldUsage x="3"/>
      </fieldsUsage>
    </cacheHierarchy>
    <cacheHierarchy uniqueName="[dtbUnpivoted].[Month]" caption="Month" attribute="1" defaultMemberUniqueName="[dtbUnpivoted].[Month].[All]" allUniqueName="[dtbUnpivoted].[Month].[All]" dimensionUniqueName="[dtbUnpivoted]" displayFolder="" count="0" memberValueDatatype="130" unbalanced="0"/>
    <cacheHierarchy uniqueName="[dtbUnpivoted].[Value]" caption="Value" attribute="1" defaultMemberUniqueName="[dtbUnpivoted].[Value].[All]" allUniqueName="[dtbUnpivoted].[Value].[All]" dimensionUniqueName="[dtbUnpivoted]" displayFolder="" count="0" memberValueDatatype="20" unbalanced="0"/>
    <cacheHierarchy uniqueName="[dtbUnpivoted].[MonthDate]" caption="MonthDate" attribute="1" time="1" defaultMemberUniqueName="[dtbUnpivoted].[MonthDate].[All]" allUniqueName="[dtbUnpivoted].[MonthDate].[All]" dimensionUniqueName="[dtbUnpivoted]" displayFolder="" count="2" memberValueDatatype="7" unbalanced="0"/>
    <cacheHierarchy uniqueName="[dtbUnpivoted].[A]" caption="A" attribute="1" defaultMemberUniqueName="[dtbUnpivoted].[A].[All]" allUniqueName="[dtbUnpivoted].[A].[All]" dimensionUniqueName="[dtbUnpivoted]" displayFolder="" count="0" memberValueDatatype="130" unbalanced="0"/>
    <cacheHierarchy uniqueName="[dtbUnpivoted].[MonthDate (Year)]" caption="MonthDate (Year)" attribute="1" defaultMemberUniqueName="[dtbUnpivoted].[MonthDate (Year)].[All]" allUniqueName="[dtbUnpivoted].[MonthDate (Year)].[All]" dimensionUniqueName="[dtbUnpivoted]" displayFolder="" count="2" memberValueDatatype="130" unbalanced="0"/>
    <cacheHierarchy uniqueName="[dtbUnpivoted].[MonthDate (Quarter)]" caption="MonthDate (Quarter)" attribute="1" defaultMemberUniqueName="[dtbUnpivoted].[MonthDate (Quarter)].[All]" allUniqueName="[dtbUnpivoted].[MonthDate (Quarter)].[All]" dimensionUniqueName="[dtbUnpivoted]" displayFolder="" count="2" memberValueDatatype="130" unbalanced="0"/>
    <cacheHierarchy uniqueName="[dtbUnpivoted].[MonthDate (Month)]" caption="MonthDate (Month)" attribute="1" defaultMemberUniqueName="[dtbUnpivoted].[MonthDate (Month)].[All]" allUniqueName="[dtbUnpivoted].[MonthDate (Month)].[All]" dimensionUniqueName="[dtbUnpivoted]" displayFolder="" count="2" memberValueDatatype="130" unbalanced="0">
      <fieldsUsage count="2">
        <fieldUsage x="-1"/>
        <fieldUsage x="0"/>
      </fieldsUsage>
    </cacheHierarchy>
    <cacheHierarchy uniqueName="[dtbUnpivoted].[MonthDate (Month Index)]" caption="MonthDate (Month Index)" attribute="1" defaultMemberUniqueName="[dtbUnpivoted].[MonthDate (Month Index)].[All]" allUniqueName="[dtbUnpivoted].[MonthDate (Month Index)].[All]" dimensionUniqueName="[dtbUnpivoted]" displayFolder="" count="0" memberValueDatatype="20" unbalanced="0" hidden="1"/>
    <cacheHierarchy uniqueName="[Measures].[__XL_Count dtbUnpivoted]" caption="__XL_Count dtbUnpivoted" measure="1" displayFolder="" measureGroup="dtbUnpivoted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dtbUnpivoted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name="dtbUnpivoted" uniqueName="[dtbUnpivoted]" caption="dtbUnpivoted"/>
    <dimension measure="1" name="Measures" uniqueName="[Measures]" caption="Measures"/>
  </dimensions>
  <measureGroups count="1">
    <measureGroup name="dtbUnpivoted" caption="dtbUnpivot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x v="0"/>
    <n v="1063"/>
    <n v="1"/>
    <m/>
  </r>
  <r>
    <x v="0"/>
    <x v="0"/>
    <x v="1"/>
    <n v="1001"/>
    <n v="2"/>
    <m/>
  </r>
  <r>
    <x v="0"/>
    <x v="0"/>
    <x v="2"/>
    <n v="1146"/>
    <n v="3"/>
    <m/>
  </r>
  <r>
    <x v="0"/>
    <x v="0"/>
    <x v="3"/>
    <n v="1056"/>
    <n v="4"/>
    <m/>
  </r>
  <r>
    <x v="0"/>
    <x v="0"/>
    <x v="4"/>
    <n v="928"/>
    <n v="5"/>
    <m/>
  </r>
  <r>
    <x v="0"/>
    <x v="0"/>
    <x v="5"/>
    <n v="1100"/>
    <n v="6"/>
    <m/>
  </r>
  <r>
    <x v="0"/>
    <x v="1"/>
    <x v="0"/>
    <n v="756"/>
    <n v="1"/>
    <m/>
  </r>
  <r>
    <x v="0"/>
    <x v="1"/>
    <x v="1"/>
    <n v="860"/>
    <n v="2"/>
    <m/>
  </r>
  <r>
    <x v="0"/>
    <x v="1"/>
    <x v="2"/>
    <n v="866"/>
    <n v="3"/>
    <m/>
  </r>
  <r>
    <x v="0"/>
    <x v="1"/>
    <x v="3"/>
    <n v="982"/>
    <n v="4"/>
    <m/>
  </r>
  <r>
    <x v="0"/>
    <x v="1"/>
    <x v="4"/>
    <n v="1034"/>
    <n v="5"/>
    <m/>
  </r>
  <r>
    <x v="0"/>
    <x v="1"/>
    <x v="5"/>
    <n v="752"/>
    <n v="6"/>
    <m/>
  </r>
  <r>
    <x v="0"/>
    <x v="2"/>
    <x v="0"/>
    <n v="892"/>
    <n v="1"/>
    <m/>
  </r>
  <r>
    <x v="0"/>
    <x v="2"/>
    <x v="1"/>
    <n v="886"/>
    <n v="2"/>
    <m/>
  </r>
  <r>
    <x v="0"/>
    <x v="2"/>
    <x v="2"/>
    <n v="805"/>
    <n v="3"/>
    <m/>
  </r>
  <r>
    <x v="0"/>
    <x v="2"/>
    <x v="3"/>
    <n v="848"/>
    <n v="4"/>
    <m/>
  </r>
  <r>
    <x v="0"/>
    <x v="2"/>
    <x v="4"/>
    <n v="812"/>
    <n v="5"/>
    <m/>
  </r>
  <r>
    <x v="0"/>
    <x v="2"/>
    <x v="5"/>
    <n v="711"/>
    <n v="6"/>
    <m/>
  </r>
  <r>
    <x v="0"/>
    <x v="3"/>
    <x v="0"/>
    <n v="663"/>
    <n v="1"/>
    <m/>
  </r>
  <r>
    <x v="0"/>
    <x v="3"/>
    <x v="1"/>
    <n v="761"/>
    <n v="2"/>
    <m/>
  </r>
  <r>
    <x v="0"/>
    <x v="3"/>
    <x v="2"/>
    <n v="654"/>
    <n v="3"/>
    <m/>
  </r>
  <r>
    <x v="0"/>
    <x v="3"/>
    <x v="3"/>
    <n v="738"/>
    <n v="4"/>
    <m/>
  </r>
  <r>
    <x v="0"/>
    <x v="3"/>
    <x v="4"/>
    <n v="714"/>
    <n v="5"/>
    <m/>
  </r>
  <r>
    <x v="0"/>
    <x v="3"/>
    <x v="5"/>
    <n v="821"/>
    <n v="6"/>
    <m/>
  </r>
  <r>
    <x v="1"/>
    <x v="0"/>
    <x v="0"/>
    <n v="1080"/>
    <n v="1"/>
    <m/>
  </r>
  <r>
    <x v="1"/>
    <x v="0"/>
    <x v="1"/>
    <n v="1044"/>
    <n v="2"/>
    <m/>
  </r>
  <r>
    <x v="1"/>
    <x v="0"/>
    <x v="2"/>
    <n v="863"/>
    <n v="3"/>
    <m/>
  </r>
  <r>
    <x v="1"/>
    <x v="0"/>
    <x v="3"/>
    <n v="1009"/>
    <n v="4"/>
    <m/>
  </r>
  <r>
    <x v="1"/>
    <x v="0"/>
    <x v="4"/>
    <n v="848"/>
    <n v="5"/>
    <m/>
  </r>
  <r>
    <x v="1"/>
    <x v="0"/>
    <x v="5"/>
    <n v="960"/>
    <n v="6"/>
    <m/>
  </r>
  <r>
    <x v="1"/>
    <x v="1"/>
    <x v="0"/>
    <n v="731"/>
    <n v="1"/>
    <m/>
  </r>
  <r>
    <x v="1"/>
    <x v="1"/>
    <x v="1"/>
    <n v="887"/>
    <n v="2"/>
    <m/>
  </r>
  <r>
    <x v="1"/>
    <x v="1"/>
    <x v="2"/>
    <n v="980"/>
    <n v="3"/>
    <m/>
  </r>
  <r>
    <x v="1"/>
    <x v="1"/>
    <x v="3"/>
    <n v="853"/>
    <n v="4"/>
    <m/>
  </r>
  <r>
    <x v="1"/>
    <x v="1"/>
    <x v="4"/>
    <n v="960"/>
    <n v="5"/>
    <m/>
  </r>
  <r>
    <x v="1"/>
    <x v="1"/>
    <x v="5"/>
    <n v="784"/>
    <n v="6"/>
    <m/>
  </r>
  <r>
    <x v="1"/>
    <x v="2"/>
    <x v="0"/>
    <n v="817"/>
    <n v="1"/>
    <m/>
  </r>
  <r>
    <x v="1"/>
    <x v="2"/>
    <x v="1"/>
    <n v="803"/>
    <n v="2"/>
    <m/>
  </r>
  <r>
    <x v="1"/>
    <x v="2"/>
    <x v="2"/>
    <n v="819"/>
    <n v="3"/>
    <m/>
  </r>
  <r>
    <x v="1"/>
    <x v="2"/>
    <x v="3"/>
    <n v="726"/>
    <n v="4"/>
    <m/>
  </r>
  <r>
    <x v="1"/>
    <x v="2"/>
    <x v="4"/>
    <n v="889"/>
    <n v="5"/>
    <m/>
  </r>
  <r>
    <x v="1"/>
    <x v="2"/>
    <x v="5"/>
    <n v="600"/>
    <n v="6"/>
    <m/>
  </r>
  <r>
    <x v="1"/>
    <x v="3"/>
    <x v="0"/>
    <n v="690"/>
    <n v="1"/>
    <m/>
  </r>
  <r>
    <x v="1"/>
    <x v="3"/>
    <x v="1"/>
    <n v="694"/>
    <n v="2"/>
    <m/>
  </r>
  <r>
    <x v="1"/>
    <x v="3"/>
    <x v="2"/>
    <n v="647"/>
    <n v="3"/>
    <m/>
  </r>
  <r>
    <x v="1"/>
    <x v="3"/>
    <x v="3"/>
    <n v="764"/>
    <n v="4"/>
    <m/>
  </r>
  <r>
    <x v="1"/>
    <x v="3"/>
    <x v="4"/>
    <n v="526"/>
    <n v="5"/>
    <m/>
  </r>
  <r>
    <x v="1"/>
    <x v="3"/>
    <x v="5"/>
    <n v="888"/>
    <n v="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D6D56-C4CB-4D11-9EDE-0D348BDDA03F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K15:S27" firstHeaderRow="1" firstDataRow="2" firstDataCol="2"/>
  <pivotFields count="6">
    <pivotField axis="axisRow" compact="0" outline="0" subtotalTop="0" showAll="0" nonAutoSortDefault="1">
      <items count="3">
        <item x="1"/>
        <item x="0"/>
        <item t="default"/>
      </items>
    </pivotField>
    <pivotField axis="axisRow" compact="0" outline="0" showAll="0">
      <items count="5">
        <item x="0"/>
        <item x="1"/>
        <item x="2"/>
        <item x="3"/>
        <item t="default"/>
      </items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</pivotField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3" baseField="0" baseItem="0"/>
  </dataFields>
  <pivotTableStyleInfo name="ESPPivot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65982-992B-4CD1-B1E8-1AC3694DD874}" name="PivotTable4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5" firstHeaderRow="1" firstDataRow="2" firstDataCol="1"/>
  <pivotFields count="4">
    <pivotField axis="axisCol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1"/>
    <field x="3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2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ESPPivotTable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npivot.xlsm!dtbUnpivoted">
        <x15:activeTabTopLevelEntity name="[dtbUnpivo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7894A2-D6CC-4092-9388-86C45193355D}" name="PivotTable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ESPPivot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C060C7-C1B0-4218-B5CF-F7D2DF99E00E}" autoFormatId="16" applyNumberFormats="0" applyBorderFormats="0" applyFontFormats="0" applyPatternFormats="0" applyAlignmentFormats="0" applyWidthHeightFormats="0">
  <queryTableRefresh nextId="10" unboundColumnsRight="1">
    <queryTableFields count="6">
      <queryTableField id="1" name="Year" tableColumnId="1"/>
      <queryTableField id="2" name="Item" tableColumnId="2"/>
      <queryTableField id="5" name="Month" tableColumnId="5"/>
      <queryTableField id="4" name="Value" tableColumnId="4"/>
      <queryTableField id="9" name="MonthDate" tableColumnId="8"/>
      <queryTableField id="8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D93454-7AFB-44A8-9295-9C0E93F0FD7E}" name="dtbUnpivoted" displayName="dtbUnpivoted" ref="O14:T62" tableType="queryTable" totalsRowShown="0" headerRowDxfId="0" headerRowBorderDxfId="1">
  <autoFilter ref="O14:T62" xr:uid="{7DD93454-7AFB-44A8-9295-9C0E93F0FD7E}"/>
  <tableColumns count="6">
    <tableColumn id="1" xr3:uid="{945C35D4-6F39-44D4-8ED0-E266450F90E9}" uniqueName="1" name="Year" queryTableFieldId="1"/>
    <tableColumn id="2" xr3:uid="{DCD584DD-C8A2-43B6-ABE3-B11AE9CF7F7D}" uniqueName="2" name="Item" queryTableFieldId="2" dataDxfId="4"/>
    <tableColumn id="5" xr3:uid="{C1AB9DE4-D249-4FF1-91E6-60659D6FE271}" uniqueName="5" name="Month" queryTableFieldId="5" dataDxfId="3"/>
    <tableColumn id="4" xr3:uid="{4EDC5E69-9BFA-48D6-8965-76A34CADB139}" uniqueName="4" name="Value" queryTableFieldId="4"/>
    <tableColumn id="8" xr3:uid="{A6C180AA-6748-4309-AC78-AFAAC6AA9585}" uniqueName="8" name="MonthDate" queryTableFieldId="9" dataDxfId="2"/>
    <tableColumn id="7" xr3:uid="{C81462E4-1047-4D04-97BC-2B4F613F3146}" uniqueName="7" name=" " queryTableFieldId="8"/>
  </tableColumns>
  <tableStyleInfo name="ESP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7FCEBB-EF24-4E69-8518-ED1763C0E450}" name="dtbPivot" displayName="dtbPivot" ref="K14:S22" totalsRowShown="0" headerRowDxfId="5" headerRowBorderDxfId="6" headerRowCellStyle="ttw -TopTextWrap">
  <autoFilter ref="K14:S22" xr:uid="{787FCEBB-EF24-4E69-8518-ED1763C0E450}"/>
  <tableColumns count="9">
    <tableColumn id="1" xr3:uid="{C02B1BB3-3C2B-4308-9AAB-9707C35B9D42}" name="Year"/>
    <tableColumn id="2" xr3:uid="{0ACDB4A8-345A-41A0-9128-E47A9E306922}" name="Item"/>
    <tableColumn id="3" xr3:uid="{7EF6CFC1-B4C6-4AAD-ADBA-56C7CBA3CCA4}" name="Jan"/>
    <tableColumn id="4" xr3:uid="{607CED45-F861-4D31-BB2C-BB1517E7269B}" name="Feb"/>
    <tableColumn id="5" xr3:uid="{3E95424C-CD18-4A58-A610-B1E38C624041}" name="Mar"/>
    <tableColumn id="6" xr3:uid="{9C5FA0A2-2311-4540-9EBC-996FF07CE836}" name="Apr"/>
    <tableColumn id="7" xr3:uid="{3DC77E08-BD6A-4EE9-A4AA-4F8A0BCEBE69}" name="May"/>
    <tableColumn id="8" xr3:uid="{9CFD63FF-C4DE-4B0A-BED2-09981C2A6D47}" name="Jun"/>
    <tableColumn id="15" xr3:uid="{315A9250-B193-41EB-8C16-1BADF2130A54}" name=" 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A29" sqref="A29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21-Jan-2024A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/>
    </row>
    <row r="7" spans="1:4" x14ac:dyDescent="0.25">
      <c r="A7" s="9" t="s">
        <v>14</v>
      </c>
      <c r="C7" s="10"/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D:\d\Mag\FreeTips\Tip967\Unpivot.xlsm</v>
      </c>
    </row>
    <row r="9" spans="1:4" x14ac:dyDescent="0.25">
      <c r="A9" s="9" t="s">
        <v>7</v>
      </c>
      <c r="C9" t="str">
        <f>kVersion</f>
        <v>21-Jan-2024A</v>
      </c>
    </row>
    <row r="10" spans="1:4" x14ac:dyDescent="0.25">
      <c r="A10" s="9" t="s">
        <v>15</v>
      </c>
      <c r="C10" t="s">
        <v>43</v>
      </c>
    </row>
    <row r="11" spans="1:4" x14ac:dyDescent="0.25">
      <c r="A11" s="9" t="s">
        <v>17</v>
      </c>
      <c r="C11" s="10" t="s">
        <v>39</v>
      </c>
    </row>
    <row r="12" spans="1:4" x14ac:dyDescent="0.25">
      <c r="A12" s="9" t="s">
        <v>10</v>
      </c>
      <c r="C12" s="10" t="s">
        <v>33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 t="s">
        <v>26</v>
      </c>
    </row>
    <row r="15" spans="1:4" x14ac:dyDescent="0.25">
      <c r="A15" s="11" t="s">
        <v>19</v>
      </c>
      <c r="C15" s="10" t="s">
        <v>28</v>
      </c>
    </row>
    <row r="16" spans="1:4" x14ac:dyDescent="0.25">
      <c r="A16" s="11" t="s">
        <v>23</v>
      </c>
      <c r="C16" s="10" t="s">
        <v>29</v>
      </c>
    </row>
    <row r="17" spans="1:3" x14ac:dyDescent="0.25">
      <c r="A17" s="11" t="s">
        <v>20</v>
      </c>
      <c r="C17" s="10" t="s">
        <v>30</v>
      </c>
    </row>
    <row r="18" spans="1:3" x14ac:dyDescent="0.25">
      <c r="A18" s="11" t="s">
        <v>21</v>
      </c>
      <c r="C18" s="10" t="s">
        <v>31</v>
      </c>
    </row>
    <row r="19" spans="1:3" x14ac:dyDescent="0.25">
      <c r="A19" s="9" t="s">
        <v>40</v>
      </c>
      <c r="C19" s="10" t="s">
        <v>41</v>
      </c>
    </row>
    <row r="20" spans="1:3" x14ac:dyDescent="0.25">
      <c r="A20" s="16" t="s">
        <v>27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34</v>
      </c>
      <c r="B30" s="4"/>
    </row>
    <row r="31" spans="1:3" x14ac:dyDescent="0.25">
      <c r="A31" s="19" t="s">
        <v>36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35</v>
      </c>
      <c r="B34" s="4"/>
      <c r="C34" s="4"/>
    </row>
    <row r="35" spans="1:3" x14ac:dyDescent="0.25">
      <c r="A35" s="19" t="s">
        <v>37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32</v>
      </c>
    </row>
    <row r="7" spans="1:2" x14ac:dyDescent="0.25">
      <c r="A7" s="6" t="s">
        <v>7</v>
      </c>
      <c r="B7" s="1" t="s">
        <v>44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38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21-Jan-2024 9:00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F20DD-AF0A-402C-9BDC-80081F10AFBE}">
  <sheetPr>
    <tabColor rgb="FFDB9694"/>
  </sheetPr>
  <dimension ref="K10:S27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R23" sqref="R23"/>
    </sheetView>
  </sheetViews>
  <sheetFormatPr defaultRowHeight="10.3" x14ac:dyDescent="0.25"/>
  <cols>
    <col min="1" max="1" width="50.81640625" customWidth="1"/>
    <col min="11" max="11" width="12.54296875" bestFit="1" customWidth="1"/>
    <col min="12" max="12" width="6.90625" bestFit="1" customWidth="1"/>
    <col min="13" max="18" width="8.08984375" bestFit="1" customWidth="1"/>
    <col min="19" max="19" width="9.81640625" bestFit="1" customWidth="1"/>
  </cols>
  <sheetData>
    <row r="10" spans="11:19" ht="10.75" thickBot="1" x14ac:dyDescent="0.3"/>
    <row r="11" spans="11:19" ht="15.45" x14ac:dyDescent="0.25">
      <c r="K11" s="32" t="s">
        <v>67</v>
      </c>
      <c r="L11" s="33"/>
      <c r="M11" s="34"/>
      <c r="N11" s="33"/>
      <c r="O11" s="33"/>
      <c r="P11" s="33"/>
      <c r="Q11" s="33"/>
      <c r="R11" s="33"/>
      <c r="S11" s="35"/>
    </row>
    <row r="12" spans="11:19" ht="15.45" x14ac:dyDescent="0.25">
      <c r="K12" s="36"/>
      <c r="L12" s="37"/>
      <c r="M12" s="38"/>
      <c r="N12" s="37"/>
      <c r="O12" s="37"/>
      <c r="P12" s="37"/>
      <c r="Q12" s="37"/>
      <c r="R12" s="37"/>
      <c r="S12" s="39"/>
    </row>
    <row r="13" spans="11:19" ht="12.45" x14ac:dyDescent="0.25">
      <c r="K13" s="40"/>
      <c r="L13" s="37"/>
      <c r="M13" s="37"/>
      <c r="N13" s="37"/>
      <c r="O13" s="37"/>
      <c r="P13" s="37"/>
      <c r="Q13" s="37"/>
      <c r="R13" s="37"/>
      <c r="S13" s="39"/>
    </row>
    <row r="14" spans="11:19" ht="10.75" thickBot="1" x14ac:dyDescent="0.3">
      <c r="K14" s="43" t="s">
        <v>58</v>
      </c>
      <c r="L14" s="41"/>
      <c r="M14" s="41"/>
      <c r="N14" s="41"/>
      <c r="O14" s="41"/>
      <c r="P14" s="41"/>
      <c r="Q14" s="41"/>
      <c r="R14" s="41"/>
      <c r="S14" s="42" t="s">
        <v>59</v>
      </c>
    </row>
    <row r="15" spans="11:19" x14ac:dyDescent="0.25">
      <c r="K15" s="58" t="s">
        <v>65</v>
      </c>
      <c r="M15" s="58" t="s">
        <v>62</v>
      </c>
    </row>
    <row r="16" spans="11:19" x14ac:dyDescent="0.25">
      <c r="K16" s="58" t="s">
        <v>49</v>
      </c>
      <c r="L16" s="58" t="s">
        <v>50</v>
      </c>
      <c r="M16" t="s">
        <v>51</v>
      </c>
      <c r="N16" t="s">
        <v>52</v>
      </c>
      <c r="O16" t="s">
        <v>53</v>
      </c>
      <c r="P16" t="s">
        <v>54</v>
      </c>
      <c r="Q16" t="s">
        <v>55</v>
      </c>
      <c r="R16" t="s">
        <v>56</v>
      </c>
      <c r="S16" t="s">
        <v>64</v>
      </c>
    </row>
    <row r="17" spans="11:19" x14ac:dyDescent="0.25">
      <c r="K17">
        <v>2023</v>
      </c>
      <c r="L17" t="s">
        <v>45</v>
      </c>
      <c r="M17" s="44">
        <v>1080</v>
      </c>
      <c r="N17" s="44">
        <v>1044</v>
      </c>
      <c r="O17" s="44">
        <v>863</v>
      </c>
      <c r="P17" s="44">
        <v>1009</v>
      </c>
      <c r="Q17" s="44">
        <v>848</v>
      </c>
      <c r="R17" s="44">
        <v>960</v>
      </c>
      <c r="S17" s="44">
        <v>5804</v>
      </c>
    </row>
    <row r="18" spans="11:19" x14ac:dyDescent="0.25">
      <c r="L18" t="s">
        <v>46</v>
      </c>
      <c r="M18" s="44">
        <v>731</v>
      </c>
      <c r="N18" s="44">
        <v>887</v>
      </c>
      <c r="O18" s="44">
        <v>980</v>
      </c>
      <c r="P18" s="44">
        <v>853</v>
      </c>
      <c r="Q18" s="44">
        <v>960</v>
      </c>
      <c r="R18" s="44">
        <v>784</v>
      </c>
      <c r="S18" s="44">
        <v>5195</v>
      </c>
    </row>
    <row r="19" spans="11:19" x14ac:dyDescent="0.25">
      <c r="L19" t="s">
        <v>47</v>
      </c>
      <c r="M19" s="44">
        <v>817</v>
      </c>
      <c r="N19" s="44">
        <v>803</v>
      </c>
      <c r="O19" s="44">
        <v>819</v>
      </c>
      <c r="P19" s="44">
        <v>726</v>
      </c>
      <c r="Q19" s="44">
        <v>889</v>
      </c>
      <c r="R19" s="44">
        <v>600</v>
      </c>
      <c r="S19" s="44">
        <v>4654</v>
      </c>
    </row>
    <row r="20" spans="11:19" x14ac:dyDescent="0.25">
      <c r="L20" t="s">
        <v>48</v>
      </c>
      <c r="M20" s="44">
        <v>690</v>
      </c>
      <c r="N20" s="44">
        <v>694</v>
      </c>
      <c r="O20" s="44">
        <v>647</v>
      </c>
      <c r="P20" s="44">
        <v>764</v>
      </c>
      <c r="Q20" s="44">
        <v>526</v>
      </c>
      <c r="R20" s="44">
        <v>888</v>
      </c>
      <c r="S20" s="44">
        <v>4209</v>
      </c>
    </row>
    <row r="21" spans="11:19" x14ac:dyDescent="0.25">
      <c r="K21" t="s">
        <v>68</v>
      </c>
      <c r="M21" s="44">
        <v>3318</v>
      </c>
      <c r="N21" s="44">
        <v>3428</v>
      </c>
      <c r="O21" s="44">
        <v>3309</v>
      </c>
      <c r="P21" s="44">
        <v>3352</v>
      </c>
      <c r="Q21" s="44">
        <v>3223</v>
      </c>
      <c r="R21" s="44">
        <v>3232</v>
      </c>
      <c r="S21" s="44">
        <v>19862</v>
      </c>
    </row>
    <row r="22" spans="11:19" x14ac:dyDescent="0.25">
      <c r="K22">
        <v>2024</v>
      </c>
      <c r="L22" t="s">
        <v>45</v>
      </c>
      <c r="M22" s="44">
        <v>1063</v>
      </c>
      <c r="N22" s="44">
        <v>1001</v>
      </c>
      <c r="O22" s="44">
        <v>1146</v>
      </c>
      <c r="P22" s="44">
        <v>1056</v>
      </c>
      <c r="Q22" s="44">
        <v>928</v>
      </c>
      <c r="R22" s="44">
        <v>1100</v>
      </c>
      <c r="S22" s="44">
        <v>6294</v>
      </c>
    </row>
    <row r="23" spans="11:19" x14ac:dyDescent="0.25">
      <c r="L23" t="s">
        <v>46</v>
      </c>
      <c r="M23" s="44">
        <v>756</v>
      </c>
      <c r="N23" s="44">
        <v>860</v>
      </c>
      <c r="O23" s="44">
        <v>866</v>
      </c>
      <c r="P23" s="44">
        <v>982</v>
      </c>
      <c r="Q23" s="44">
        <v>1034</v>
      </c>
      <c r="R23" s="44">
        <v>752</v>
      </c>
      <c r="S23" s="44">
        <v>5250</v>
      </c>
    </row>
    <row r="24" spans="11:19" x14ac:dyDescent="0.25">
      <c r="L24" t="s">
        <v>47</v>
      </c>
      <c r="M24" s="44">
        <v>892</v>
      </c>
      <c r="N24" s="44">
        <v>886</v>
      </c>
      <c r="O24" s="44">
        <v>805</v>
      </c>
      <c r="P24" s="44">
        <v>848</v>
      </c>
      <c r="Q24" s="44">
        <v>812</v>
      </c>
      <c r="R24" s="44">
        <v>711</v>
      </c>
      <c r="S24" s="44">
        <v>4954</v>
      </c>
    </row>
    <row r="25" spans="11:19" x14ac:dyDescent="0.25">
      <c r="L25" t="s">
        <v>48</v>
      </c>
      <c r="M25" s="44">
        <v>663</v>
      </c>
      <c r="N25" s="44">
        <v>761</v>
      </c>
      <c r="O25" s="44">
        <v>654</v>
      </c>
      <c r="P25" s="44">
        <v>738</v>
      </c>
      <c r="Q25" s="44">
        <v>714</v>
      </c>
      <c r="R25" s="44">
        <v>821</v>
      </c>
      <c r="S25" s="44">
        <v>4351</v>
      </c>
    </row>
    <row r="26" spans="11:19" x14ac:dyDescent="0.25">
      <c r="K26" t="s">
        <v>69</v>
      </c>
      <c r="M26" s="44">
        <v>3374</v>
      </c>
      <c r="N26" s="44">
        <v>3508</v>
      </c>
      <c r="O26" s="44">
        <v>3471</v>
      </c>
      <c r="P26" s="44">
        <v>3624</v>
      </c>
      <c r="Q26" s="44">
        <v>3488</v>
      </c>
      <c r="R26" s="44">
        <v>3384</v>
      </c>
      <c r="S26" s="44">
        <v>20849</v>
      </c>
    </row>
    <row r="27" spans="11:19" x14ac:dyDescent="0.25">
      <c r="K27" t="s">
        <v>64</v>
      </c>
      <c r="M27" s="44">
        <v>6692</v>
      </c>
      <c r="N27" s="44">
        <v>6936</v>
      </c>
      <c r="O27" s="44">
        <v>6780</v>
      </c>
      <c r="P27" s="44">
        <v>6976</v>
      </c>
      <c r="Q27" s="44">
        <v>6711</v>
      </c>
      <c r="R27" s="44">
        <v>6616</v>
      </c>
      <c r="S27" s="44">
        <v>40711</v>
      </c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BAB34-9DB3-448F-AB63-8CCF567B9583}">
  <dimension ref="A3:H15"/>
  <sheetViews>
    <sheetView workbookViewId="0">
      <selection activeCell="D8" sqref="D8"/>
    </sheetView>
  </sheetViews>
  <sheetFormatPr defaultRowHeight="10.3" x14ac:dyDescent="0.25"/>
  <cols>
    <col min="1" max="1" width="12.54296875" bestFit="1" customWidth="1"/>
    <col min="2" max="2" width="15" bestFit="1" customWidth="1"/>
    <col min="3" max="7" width="4.81640625" bestFit="1" customWidth="1"/>
    <col min="8" max="8" width="9.81640625" bestFit="1" customWidth="1"/>
    <col min="9" max="12" width="15" bestFit="1" customWidth="1"/>
    <col min="13" max="13" width="9.81640625" bestFit="1" customWidth="1"/>
  </cols>
  <sheetData>
    <row r="3" spans="1:8" x14ac:dyDescent="0.25">
      <c r="A3" s="58" t="s">
        <v>65</v>
      </c>
      <c r="B3" s="58" t="s">
        <v>66</v>
      </c>
    </row>
    <row r="4" spans="1:8" x14ac:dyDescent="0.25">
      <c r="A4" s="58" t="s">
        <v>63</v>
      </c>
      <c r="B4" t="s">
        <v>51</v>
      </c>
      <c r="C4" t="s">
        <v>52</v>
      </c>
      <c r="D4" t="s">
        <v>53</v>
      </c>
      <c r="E4" t="s">
        <v>54</v>
      </c>
      <c r="F4" t="s">
        <v>55</v>
      </c>
      <c r="G4" t="s">
        <v>56</v>
      </c>
      <c r="H4" t="s">
        <v>64</v>
      </c>
    </row>
    <row r="5" spans="1:8" x14ac:dyDescent="0.25">
      <c r="A5" s="59">
        <v>2023</v>
      </c>
      <c r="B5" s="44"/>
      <c r="C5" s="44"/>
      <c r="D5" s="44"/>
      <c r="E5" s="44"/>
      <c r="F5" s="44"/>
      <c r="G5" s="44"/>
      <c r="H5" s="44"/>
    </row>
    <row r="6" spans="1:8" x14ac:dyDescent="0.25">
      <c r="A6" s="60" t="s">
        <v>45</v>
      </c>
      <c r="B6" s="44">
        <v>1080</v>
      </c>
      <c r="C6" s="44">
        <v>1044</v>
      </c>
      <c r="D6" s="44">
        <v>863</v>
      </c>
      <c r="E6" s="44">
        <v>1009</v>
      </c>
      <c r="F6" s="44">
        <v>848</v>
      </c>
      <c r="G6" s="44">
        <v>960</v>
      </c>
      <c r="H6" s="44">
        <v>5804</v>
      </c>
    </row>
    <row r="7" spans="1:8" x14ac:dyDescent="0.25">
      <c r="A7" s="60" t="s">
        <v>46</v>
      </c>
      <c r="B7" s="44">
        <v>731</v>
      </c>
      <c r="C7" s="44">
        <v>887</v>
      </c>
      <c r="D7" s="44">
        <v>980</v>
      </c>
      <c r="E7" s="44">
        <v>853</v>
      </c>
      <c r="F7" s="44">
        <v>960</v>
      </c>
      <c r="G7" s="44">
        <v>784</v>
      </c>
      <c r="H7" s="44">
        <v>5195</v>
      </c>
    </row>
    <row r="8" spans="1:8" x14ac:dyDescent="0.25">
      <c r="A8" s="60" t="s">
        <v>48</v>
      </c>
      <c r="B8" s="44">
        <v>690</v>
      </c>
      <c r="C8" s="44">
        <v>694</v>
      </c>
      <c r="D8" s="44">
        <v>647</v>
      </c>
      <c r="E8" s="44">
        <v>764</v>
      </c>
      <c r="F8" s="44">
        <v>526</v>
      </c>
      <c r="G8" s="44">
        <v>888</v>
      </c>
      <c r="H8" s="44">
        <v>4209</v>
      </c>
    </row>
    <row r="9" spans="1:8" x14ac:dyDescent="0.25">
      <c r="A9" s="60" t="s">
        <v>47</v>
      </c>
      <c r="B9" s="44">
        <v>817</v>
      </c>
      <c r="C9" s="44">
        <v>803</v>
      </c>
      <c r="D9" s="44">
        <v>819</v>
      </c>
      <c r="E9" s="44">
        <v>726</v>
      </c>
      <c r="F9" s="44">
        <v>889</v>
      </c>
      <c r="G9" s="44">
        <v>600</v>
      </c>
      <c r="H9" s="44">
        <v>4654</v>
      </c>
    </row>
    <row r="10" spans="1:8" x14ac:dyDescent="0.25">
      <c r="A10" s="59">
        <v>2024</v>
      </c>
      <c r="B10" s="44"/>
      <c r="C10" s="44"/>
      <c r="D10" s="44"/>
      <c r="E10" s="44"/>
      <c r="F10" s="44"/>
      <c r="G10" s="44"/>
      <c r="H10" s="44"/>
    </row>
    <row r="11" spans="1:8" x14ac:dyDescent="0.25">
      <c r="A11" s="60" t="s">
        <v>45</v>
      </c>
      <c r="B11" s="44">
        <v>1063</v>
      </c>
      <c r="C11" s="44">
        <v>1001</v>
      </c>
      <c r="D11" s="44">
        <v>1146</v>
      </c>
      <c r="E11" s="44">
        <v>1056</v>
      </c>
      <c r="F11" s="44">
        <v>928</v>
      </c>
      <c r="G11" s="44">
        <v>1100</v>
      </c>
      <c r="H11" s="44">
        <v>6294</v>
      </c>
    </row>
    <row r="12" spans="1:8" x14ac:dyDescent="0.25">
      <c r="A12" s="60" t="s">
        <v>46</v>
      </c>
      <c r="B12" s="44">
        <v>756</v>
      </c>
      <c r="C12" s="44">
        <v>860</v>
      </c>
      <c r="D12" s="44">
        <v>866</v>
      </c>
      <c r="E12" s="44">
        <v>982</v>
      </c>
      <c r="F12" s="44">
        <v>1034</v>
      </c>
      <c r="G12" s="44">
        <v>752</v>
      </c>
      <c r="H12" s="44">
        <v>5250</v>
      </c>
    </row>
    <row r="13" spans="1:8" x14ac:dyDescent="0.25">
      <c r="A13" s="60" t="s">
        <v>48</v>
      </c>
      <c r="B13" s="44">
        <v>663</v>
      </c>
      <c r="C13" s="44">
        <v>761</v>
      </c>
      <c r="D13" s="44">
        <v>654</v>
      </c>
      <c r="E13" s="44">
        <v>738</v>
      </c>
      <c r="F13" s="44">
        <v>714</v>
      </c>
      <c r="G13" s="44">
        <v>821</v>
      </c>
      <c r="H13" s="44">
        <v>4351</v>
      </c>
    </row>
    <row r="14" spans="1:8" x14ac:dyDescent="0.25">
      <c r="A14" s="60" t="s">
        <v>47</v>
      </c>
      <c r="B14" s="44">
        <v>892</v>
      </c>
      <c r="C14" s="44">
        <v>886</v>
      </c>
      <c r="D14" s="44">
        <v>805</v>
      </c>
      <c r="E14" s="44">
        <v>848</v>
      </c>
      <c r="F14" s="44">
        <v>812</v>
      </c>
      <c r="G14" s="44">
        <v>711</v>
      </c>
      <c r="H14" s="44">
        <v>4954</v>
      </c>
    </row>
    <row r="15" spans="1:8" x14ac:dyDescent="0.25">
      <c r="A15" s="59" t="s">
        <v>64</v>
      </c>
      <c r="B15" s="44">
        <v>6692</v>
      </c>
      <c r="C15" s="44">
        <v>6936</v>
      </c>
      <c r="D15" s="44">
        <v>6780</v>
      </c>
      <c r="E15" s="44">
        <v>6976</v>
      </c>
      <c r="F15" s="44">
        <v>6711</v>
      </c>
      <c r="G15" s="44">
        <v>6616</v>
      </c>
      <c r="H15" s="44">
        <v>40711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B41D-E54E-4224-B87E-34EEBFBCEBD4}">
  <dimension ref="A3:C20"/>
  <sheetViews>
    <sheetView workbookViewId="0">
      <selection activeCell="A3" sqref="A3"/>
    </sheetView>
  </sheetViews>
  <sheetFormatPr defaultRowHeight="10.3" x14ac:dyDescent="0.25"/>
  <sheetData>
    <row r="3" spans="1:3" x14ac:dyDescent="0.25">
      <c r="A3" s="49"/>
      <c r="B3" s="50"/>
      <c r="C3" s="51"/>
    </row>
    <row r="4" spans="1:3" x14ac:dyDescent="0.25">
      <c r="A4" s="52"/>
      <c r="B4" s="53"/>
      <c r="C4" s="54"/>
    </row>
    <row r="5" spans="1:3" x14ac:dyDescent="0.25">
      <c r="A5" s="52"/>
      <c r="B5" s="53"/>
      <c r="C5" s="54"/>
    </row>
    <row r="6" spans="1:3" x14ac:dyDescent="0.25">
      <c r="A6" s="52"/>
      <c r="B6" s="53"/>
      <c r="C6" s="54"/>
    </row>
    <row r="7" spans="1:3" x14ac:dyDescent="0.25">
      <c r="A7" s="52"/>
      <c r="B7" s="53"/>
      <c r="C7" s="54"/>
    </row>
    <row r="8" spans="1:3" x14ac:dyDescent="0.25">
      <c r="A8" s="52"/>
      <c r="B8" s="53"/>
      <c r="C8" s="54"/>
    </row>
    <row r="9" spans="1:3" x14ac:dyDescent="0.25">
      <c r="A9" s="52"/>
      <c r="B9" s="53"/>
      <c r="C9" s="54"/>
    </row>
    <row r="10" spans="1:3" x14ac:dyDescent="0.25">
      <c r="A10" s="52"/>
      <c r="B10" s="53"/>
      <c r="C10" s="54"/>
    </row>
    <row r="11" spans="1:3" x14ac:dyDescent="0.25">
      <c r="A11" s="52"/>
      <c r="B11" s="53"/>
      <c r="C11" s="54"/>
    </row>
    <row r="12" spans="1:3" x14ac:dyDescent="0.25">
      <c r="A12" s="52"/>
      <c r="B12" s="53"/>
      <c r="C12" s="54"/>
    </row>
    <row r="13" spans="1:3" x14ac:dyDescent="0.25">
      <c r="A13" s="52"/>
      <c r="B13" s="53"/>
      <c r="C13" s="54"/>
    </row>
    <row r="14" spans="1:3" x14ac:dyDescent="0.25">
      <c r="A14" s="52"/>
      <c r="B14" s="53"/>
      <c r="C14" s="54"/>
    </row>
    <row r="15" spans="1:3" x14ac:dyDescent="0.25">
      <c r="A15" s="52"/>
      <c r="B15" s="53"/>
      <c r="C15" s="54"/>
    </row>
    <row r="16" spans="1:3" x14ac:dyDescent="0.25">
      <c r="A16" s="52"/>
      <c r="B16" s="53"/>
      <c r="C16" s="54"/>
    </row>
    <row r="17" spans="1:3" x14ac:dyDescent="0.25">
      <c r="A17" s="52"/>
      <c r="B17" s="53"/>
      <c r="C17" s="54"/>
    </row>
    <row r="18" spans="1:3" x14ac:dyDescent="0.25">
      <c r="A18" s="52"/>
      <c r="B18" s="53"/>
      <c r="C18" s="54"/>
    </row>
    <row r="19" spans="1:3" x14ac:dyDescent="0.25">
      <c r="A19" s="52"/>
      <c r="B19" s="53"/>
      <c r="C19" s="54"/>
    </row>
    <row r="20" spans="1:3" x14ac:dyDescent="0.25">
      <c r="A20" s="55"/>
      <c r="B20" s="56"/>
      <c r="C20" s="5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19C35-944E-44D3-96F1-16C3DB25C66A}">
  <sheetPr>
    <tabColor rgb="FF7030A0"/>
  </sheetPr>
  <dimension ref="O10:T62"/>
  <sheetViews>
    <sheetView tabSelected="1" topLeftCell="O11" workbookViewId="0">
      <pane xSplit="2" ySplit="4" topLeftCell="Q15" activePane="bottomRight" state="frozen"/>
      <selection activeCell="O11" sqref="O11"/>
      <selection pane="topRight" activeCell="Q11" sqref="Q11"/>
      <selection pane="bottomLeft" activeCell="O15" sqref="O15"/>
      <selection pane="bottomRight" activeCell="Y24" sqref="Y24"/>
    </sheetView>
  </sheetViews>
  <sheetFormatPr defaultRowHeight="10.3" x14ac:dyDescent="0.25"/>
  <cols>
    <col min="1" max="1" width="50.81640625" customWidth="1"/>
    <col min="11" max="11" width="7.36328125" bestFit="1" customWidth="1"/>
    <col min="12" max="12" width="7" bestFit="1" customWidth="1"/>
    <col min="13" max="13" width="10.6328125" bestFit="1" customWidth="1"/>
    <col min="14" max="14" width="8.1796875" bestFit="1" customWidth="1"/>
    <col min="15" max="15" width="9.6328125" bestFit="1" customWidth="1"/>
    <col min="16" max="16" width="9.54296875" bestFit="1" customWidth="1"/>
    <col min="17" max="19" width="7.6328125" customWidth="1"/>
    <col min="20" max="20" width="1.6328125" customWidth="1"/>
  </cols>
  <sheetData>
    <row r="10" spans="15:20" ht="10.75" thickBot="1" x14ac:dyDescent="0.3"/>
    <row r="11" spans="15:20" ht="15.45" x14ac:dyDescent="0.25">
      <c r="O11" s="32" t="s">
        <v>61</v>
      </c>
      <c r="P11" s="34"/>
      <c r="Q11" s="34"/>
      <c r="R11" s="34"/>
      <c r="S11" s="34"/>
      <c r="T11" s="45"/>
    </row>
    <row r="12" spans="15:20" ht="15.45" x14ac:dyDescent="0.25">
      <c r="O12" s="36"/>
      <c r="P12" s="38"/>
      <c r="Q12" s="38"/>
      <c r="R12" s="38"/>
      <c r="S12" s="38"/>
      <c r="T12" s="46"/>
    </row>
    <row r="13" spans="15:20" ht="12.45" x14ac:dyDescent="0.25">
      <c r="O13" s="40"/>
      <c r="P13" s="38"/>
      <c r="Q13" s="38"/>
      <c r="R13" s="38"/>
      <c r="S13" s="38"/>
      <c r="T13" s="46"/>
    </row>
    <row r="14" spans="15:20" ht="10.75" thickBot="1" x14ac:dyDescent="0.3">
      <c r="O14" s="48" t="s">
        <v>49</v>
      </c>
      <c r="P14" s="41" t="s">
        <v>50</v>
      </c>
      <c r="Q14" s="62" t="s">
        <v>62</v>
      </c>
      <c r="R14" s="62" t="s">
        <v>60</v>
      </c>
      <c r="S14" s="62" t="s">
        <v>70</v>
      </c>
      <c r="T14" s="47" t="s">
        <v>59</v>
      </c>
    </row>
    <row r="15" spans="15:20" x14ac:dyDescent="0.25">
      <c r="O15">
        <v>2024</v>
      </c>
      <c r="P15" s="44" t="s">
        <v>45</v>
      </c>
      <c r="Q15" s="44" t="s">
        <v>51</v>
      </c>
      <c r="R15">
        <v>1063</v>
      </c>
      <c r="S15" s="61">
        <v>45292</v>
      </c>
    </row>
    <row r="16" spans="15:20" x14ac:dyDescent="0.25">
      <c r="O16">
        <v>2024</v>
      </c>
      <c r="P16" s="44" t="s">
        <v>45</v>
      </c>
      <c r="Q16" s="44" t="s">
        <v>52</v>
      </c>
      <c r="R16">
        <v>1001</v>
      </c>
      <c r="S16" s="61">
        <v>45323</v>
      </c>
    </row>
    <row r="17" spans="15:19" x14ac:dyDescent="0.25">
      <c r="O17">
        <v>2024</v>
      </c>
      <c r="P17" s="44" t="s">
        <v>45</v>
      </c>
      <c r="Q17" s="44" t="s">
        <v>53</v>
      </c>
      <c r="R17">
        <v>1146</v>
      </c>
      <c r="S17" s="61">
        <v>45352</v>
      </c>
    </row>
    <row r="18" spans="15:19" x14ac:dyDescent="0.25">
      <c r="O18">
        <v>2024</v>
      </c>
      <c r="P18" s="44" t="s">
        <v>45</v>
      </c>
      <c r="Q18" s="44" t="s">
        <v>54</v>
      </c>
      <c r="R18">
        <v>1056</v>
      </c>
      <c r="S18" s="61">
        <v>45383</v>
      </c>
    </row>
    <row r="19" spans="15:19" x14ac:dyDescent="0.25">
      <c r="O19">
        <v>2024</v>
      </c>
      <c r="P19" s="44" t="s">
        <v>45</v>
      </c>
      <c r="Q19" s="44" t="s">
        <v>55</v>
      </c>
      <c r="R19">
        <v>928</v>
      </c>
      <c r="S19" s="61">
        <v>45413</v>
      </c>
    </row>
    <row r="20" spans="15:19" x14ac:dyDescent="0.25">
      <c r="O20">
        <v>2024</v>
      </c>
      <c r="P20" s="44" t="s">
        <v>45</v>
      </c>
      <c r="Q20" s="44" t="s">
        <v>56</v>
      </c>
      <c r="R20">
        <v>1100</v>
      </c>
      <c r="S20" s="61">
        <v>45444</v>
      </c>
    </row>
    <row r="21" spans="15:19" x14ac:dyDescent="0.25">
      <c r="O21">
        <v>2024</v>
      </c>
      <c r="P21" s="44" t="s">
        <v>46</v>
      </c>
      <c r="Q21" s="44" t="s">
        <v>51</v>
      </c>
      <c r="R21">
        <v>756</v>
      </c>
      <c r="S21" s="61">
        <v>45292</v>
      </c>
    </row>
    <row r="22" spans="15:19" x14ac:dyDescent="0.25">
      <c r="O22">
        <v>2024</v>
      </c>
      <c r="P22" s="44" t="s">
        <v>46</v>
      </c>
      <c r="Q22" s="44" t="s">
        <v>52</v>
      </c>
      <c r="R22">
        <v>860</v>
      </c>
      <c r="S22" s="61">
        <v>45323</v>
      </c>
    </row>
    <row r="23" spans="15:19" x14ac:dyDescent="0.25">
      <c r="O23">
        <v>2024</v>
      </c>
      <c r="P23" s="44" t="s">
        <v>46</v>
      </c>
      <c r="Q23" s="44" t="s">
        <v>53</v>
      </c>
      <c r="R23">
        <v>866</v>
      </c>
      <c r="S23" s="61">
        <v>45352</v>
      </c>
    </row>
    <row r="24" spans="15:19" x14ac:dyDescent="0.25">
      <c r="O24">
        <v>2024</v>
      </c>
      <c r="P24" s="44" t="s">
        <v>46</v>
      </c>
      <c r="Q24" s="44" t="s">
        <v>54</v>
      </c>
      <c r="R24">
        <v>982</v>
      </c>
      <c r="S24" s="61">
        <v>45383</v>
      </c>
    </row>
    <row r="25" spans="15:19" x14ac:dyDescent="0.25">
      <c r="O25">
        <v>2024</v>
      </c>
      <c r="P25" s="44" t="s">
        <v>46</v>
      </c>
      <c r="Q25" s="44" t="s">
        <v>55</v>
      </c>
      <c r="R25">
        <v>1034</v>
      </c>
      <c r="S25" s="61">
        <v>45413</v>
      </c>
    </row>
    <row r="26" spans="15:19" x14ac:dyDescent="0.25">
      <c r="O26">
        <v>2024</v>
      </c>
      <c r="P26" s="44" t="s">
        <v>46</v>
      </c>
      <c r="Q26" s="44" t="s">
        <v>56</v>
      </c>
      <c r="R26">
        <v>752</v>
      </c>
      <c r="S26" s="61">
        <v>45444</v>
      </c>
    </row>
    <row r="27" spans="15:19" x14ac:dyDescent="0.25">
      <c r="O27">
        <v>2024</v>
      </c>
      <c r="P27" s="44" t="s">
        <v>47</v>
      </c>
      <c r="Q27" s="44" t="s">
        <v>51</v>
      </c>
      <c r="R27">
        <v>892</v>
      </c>
      <c r="S27" s="61">
        <v>45292</v>
      </c>
    </row>
    <row r="28" spans="15:19" x14ac:dyDescent="0.25">
      <c r="O28">
        <v>2024</v>
      </c>
      <c r="P28" s="44" t="s">
        <v>47</v>
      </c>
      <c r="Q28" s="44" t="s">
        <v>52</v>
      </c>
      <c r="R28">
        <v>886</v>
      </c>
      <c r="S28" s="61">
        <v>45323</v>
      </c>
    </row>
    <row r="29" spans="15:19" x14ac:dyDescent="0.25">
      <c r="O29">
        <v>2024</v>
      </c>
      <c r="P29" s="44" t="s">
        <v>47</v>
      </c>
      <c r="Q29" s="44" t="s">
        <v>53</v>
      </c>
      <c r="R29">
        <v>805</v>
      </c>
      <c r="S29" s="61">
        <v>45352</v>
      </c>
    </row>
    <row r="30" spans="15:19" x14ac:dyDescent="0.25">
      <c r="O30">
        <v>2024</v>
      </c>
      <c r="P30" s="44" t="s">
        <v>47</v>
      </c>
      <c r="Q30" s="44" t="s">
        <v>54</v>
      </c>
      <c r="R30">
        <v>848</v>
      </c>
      <c r="S30" s="61">
        <v>45383</v>
      </c>
    </row>
    <row r="31" spans="15:19" x14ac:dyDescent="0.25">
      <c r="O31">
        <v>2024</v>
      </c>
      <c r="P31" s="44" t="s">
        <v>47</v>
      </c>
      <c r="Q31" s="44" t="s">
        <v>55</v>
      </c>
      <c r="R31">
        <v>812</v>
      </c>
      <c r="S31" s="61">
        <v>45413</v>
      </c>
    </row>
    <row r="32" spans="15:19" x14ac:dyDescent="0.25">
      <c r="O32">
        <v>2024</v>
      </c>
      <c r="P32" s="44" t="s">
        <v>47</v>
      </c>
      <c r="Q32" s="44" t="s">
        <v>56</v>
      </c>
      <c r="R32">
        <v>711</v>
      </c>
      <c r="S32" s="61">
        <v>45444</v>
      </c>
    </row>
    <row r="33" spans="15:19" x14ac:dyDescent="0.25">
      <c r="O33">
        <v>2024</v>
      </c>
      <c r="P33" s="44" t="s">
        <v>48</v>
      </c>
      <c r="Q33" s="44" t="s">
        <v>51</v>
      </c>
      <c r="R33">
        <v>663</v>
      </c>
      <c r="S33" s="61">
        <v>45292</v>
      </c>
    </row>
    <row r="34" spans="15:19" x14ac:dyDescent="0.25">
      <c r="O34">
        <v>2024</v>
      </c>
      <c r="P34" s="44" t="s">
        <v>48</v>
      </c>
      <c r="Q34" s="44" t="s">
        <v>52</v>
      </c>
      <c r="R34">
        <v>761</v>
      </c>
      <c r="S34" s="61">
        <v>45323</v>
      </c>
    </row>
    <row r="35" spans="15:19" x14ac:dyDescent="0.25">
      <c r="O35">
        <v>2024</v>
      </c>
      <c r="P35" s="44" t="s">
        <v>48</v>
      </c>
      <c r="Q35" s="44" t="s">
        <v>53</v>
      </c>
      <c r="R35">
        <v>654</v>
      </c>
      <c r="S35" s="61">
        <v>45352</v>
      </c>
    </row>
    <row r="36" spans="15:19" x14ac:dyDescent="0.25">
      <c r="O36">
        <v>2024</v>
      </c>
      <c r="P36" s="44" t="s">
        <v>48</v>
      </c>
      <c r="Q36" s="44" t="s">
        <v>54</v>
      </c>
      <c r="R36">
        <v>738</v>
      </c>
      <c r="S36" s="61">
        <v>45383</v>
      </c>
    </row>
    <row r="37" spans="15:19" x14ac:dyDescent="0.25">
      <c r="O37">
        <v>2024</v>
      </c>
      <c r="P37" s="44" t="s">
        <v>48</v>
      </c>
      <c r="Q37" s="44" t="s">
        <v>55</v>
      </c>
      <c r="R37">
        <v>714</v>
      </c>
      <c r="S37" s="61">
        <v>45413</v>
      </c>
    </row>
    <row r="38" spans="15:19" x14ac:dyDescent="0.25">
      <c r="O38">
        <v>2024</v>
      </c>
      <c r="P38" s="44" t="s">
        <v>48</v>
      </c>
      <c r="Q38" s="44" t="s">
        <v>56</v>
      </c>
      <c r="R38">
        <v>821</v>
      </c>
      <c r="S38" s="61">
        <v>45444</v>
      </c>
    </row>
    <row r="39" spans="15:19" x14ac:dyDescent="0.25">
      <c r="O39">
        <v>2023</v>
      </c>
      <c r="P39" s="44" t="s">
        <v>45</v>
      </c>
      <c r="Q39" s="44" t="s">
        <v>51</v>
      </c>
      <c r="R39">
        <v>1080</v>
      </c>
      <c r="S39" s="61">
        <v>44927</v>
      </c>
    </row>
    <row r="40" spans="15:19" x14ac:dyDescent="0.25">
      <c r="O40">
        <v>2023</v>
      </c>
      <c r="P40" s="44" t="s">
        <v>45</v>
      </c>
      <c r="Q40" s="44" t="s">
        <v>52</v>
      </c>
      <c r="R40">
        <v>1044</v>
      </c>
      <c r="S40" s="61">
        <v>44958</v>
      </c>
    </row>
    <row r="41" spans="15:19" x14ac:dyDescent="0.25">
      <c r="O41">
        <v>2023</v>
      </c>
      <c r="P41" s="44" t="s">
        <v>45</v>
      </c>
      <c r="Q41" s="44" t="s">
        <v>53</v>
      </c>
      <c r="R41">
        <v>863</v>
      </c>
      <c r="S41" s="61">
        <v>44986</v>
      </c>
    </row>
    <row r="42" spans="15:19" x14ac:dyDescent="0.25">
      <c r="O42">
        <v>2023</v>
      </c>
      <c r="P42" s="44" t="s">
        <v>45</v>
      </c>
      <c r="Q42" s="44" t="s">
        <v>54</v>
      </c>
      <c r="R42">
        <v>1009</v>
      </c>
      <c r="S42" s="61">
        <v>45017</v>
      </c>
    </row>
    <row r="43" spans="15:19" x14ac:dyDescent="0.25">
      <c r="O43">
        <v>2023</v>
      </c>
      <c r="P43" s="44" t="s">
        <v>45</v>
      </c>
      <c r="Q43" s="44" t="s">
        <v>55</v>
      </c>
      <c r="R43">
        <v>848</v>
      </c>
      <c r="S43" s="61">
        <v>45047</v>
      </c>
    </row>
    <row r="44" spans="15:19" x14ac:dyDescent="0.25">
      <c r="O44">
        <v>2023</v>
      </c>
      <c r="P44" s="44" t="s">
        <v>45</v>
      </c>
      <c r="Q44" s="44" t="s">
        <v>56</v>
      </c>
      <c r="R44">
        <v>960</v>
      </c>
      <c r="S44" s="61">
        <v>45078</v>
      </c>
    </row>
    <row r="45" spans="15:19" x14ac:dyDescent="0.25">
      <c r="O45">
        <v>2023</v>
      </c>
      <c r="P45" s="44" t="s">
        <v>46</v>
      </c>
      <c r="Q45" s="44" t="s">
        <v>51</v>
      </c>
      <c r="R45">
        <v>731</v>
      </c>
      <c r="S45" s="61">
        <v>44927</v>
      </c>
    </row>
    <row r="46" spans="15:19" x14ac:dyDescent="0.25">
      <c r="O46">
        <v>2023</v>
      </c>
      <c r="P46" s="44" t="s">
        <v>46</v>
      </c>
      <c r="Q46" s="44" t="s">
        <v>52</v>
      </c>
      <c r="R46">
        <v>887</v>
      </c>
      <c r="S46" s="61">
        <v>44958</v>
      </c>
    </row>
    <row r="47" spans="15:19" x14ac:dyDescent="0.25">
      <c r="O47">
        <v>2023</v>
      </c>
      <c r="P47" s="44" t="s">
        <v>46</v>
      </c>
      <c r="Q47" s="44" t="s">
        <v>53</v>
      </c>
      <c r="R47">
        <v>980</v>
      </c>
      <c r="S47" s="61">
        <v>44986</v>
      </c>
    </row>
    <row r="48" spans="15:19" x14ac:dyDescent="0.25">
      <c r="O48">
        <v>2023</v>
      </c>
      <c r="P48" s="44" t="s">
        <v>46</v>
      </c>
      <c r="Q48" s="44" t="s">
        <v>54</v>
      </c>
      <c r="R48">
        <v>853</v>
      </c>
      <c r="S48" s="61">
        <v>45017</v>
      </c>
    </row>
    <row r="49" spans="15:19" x14ac:dyDescent="0.25">
      <c r="O49">
        <v>2023</v>
      </c>
      <c r="P49" s="44" t="s">
        <v>46</v>
      </c>
      <c r="Q49" s="44" t="s">
        <v>55</v>
      </c>
      <c r="R49">
        <v>960</v>
      </c>
      <c r="S49" s="61">
        <v>45047</v>
      </c>
    </row>
    <row r="50" spans="15:19" x14ac:dyDescent="0.25">
      <c r="O50">
        <v>2023</v>
      </c>
      <c r="P50" s="44" t="s">
        <v>46</v>
      </c>
      <c r="Q50" s="44" t="s">
        <v>56</v>
      </c>
      <c r="R50">
        <v>784</v>
      </c>
      <c r="S50" s="61">
        <v>45078</v>
      </c>
    </row>
    <row r="51" spans="15:19" x14ac:dyDescent="0.25">
      <c r="O51">
        <v>2023</v>
      </c>
      <c r="P51" s="44" t="s">
        <v>47</v>
      </c>
      <c r="Q51" s="44" t="s">
        <v>51</v>
      </c>
      <c r="R51">
        <v>817</v>
      </c>
      <c r="S51" s="61">
        <v>44927</v>
      </c>
    </row>
    <row r="52" spans="15:19" x14ac:dyDescent="0.25">
      <c r="O52">
        <v>2023</v>
      </c>
      <c r="P52" s="44" t="s">
        <v>47</v>
      </c>
      <c r="Q52" s="44" t="s">
        <v>52</v>
      </c>
      <c r="R52">
        <v>803</v>
      </c>
      <c r="S52" s="61">
        <v>44958</v>
      </c>
    </row>
    <row r="53" spans="15:19" x14ac:dyDescent="0.25">
      <c r="O53">
        <v>2023</v>
      </c>
      <c r="P53" s="44" t="s">
        <v>47</v>
      </c>
      <c r="Q53" s="44" t="s">
        <v>53</v>
      </c>
      <c r="R53">
        <v>819</v>
      </c>
      <c r="S53" s="61">
        <v>44986</v>
      </c>
    </row>
    <row r="54" spans="15:19" x14ac:dyDescent="0.25">
      <c r="O54">
        <v>2023</v>
      </c>
      <c r="P54" s="44" t="s">
        <v>47</v>
      </c>
      <c r="Q54" s="44" t="s">
        <v>54</v>
      </c>
      <c r="R54">
        <v>726</v>
      </c>
      <c r="S54" s="61">
        <v>45017</v>
      </c>
    </row>
    <row r="55" spans="15:19" x14ac:dyDescent="0.25">
      <c r="O55">
        <v>2023</v>
      </c>
      <c r="P55" s="44" t="s">
        <v>47</v>
      </c>
      <c r="Q55" s="44" t="s">
        <v>55</v>
      </c>
      <c r="R55">
        <v>889</v>
      </c>
      <c r="S55" s="61">
        <v>45047</v>
      </c>
    </row>
    <row r="56" spans="15:19" x14ac:dyDescent="0.25">
      <c r="O56">
        <v>2023</v>
      </c>
      <c r="P56" s="44" t="s">
        <v>47</v>
      </c>
      <c r="Q56" s="44" t="s">
        <v>56</v>
      </c>
      <c r="R56">
        <v>600</v>
      </c>
      <c r="S56" s="61">
        <v>45078</v>
      </c>
    </row>
    <row r="57" spans="15:19" x14ac:dyDescent="0.25">
      <c r="O57">
        <v>2023</v>
      </c>
      <c r="P57" s="44" t="s">
        <v>48</v>
      </c>
      <c r="Q57" s="44" t="s">
        <v>51</v>
      </c>
      <c r="R57">
        <v>690</v>
      </c>
      <c r="S57" s="61">
        <v>44927</v>
      </c>
    </row>
    <row r="58" spans="15:19" x14ac:dyDescent="0.25">
      <c r="O58">
        <v>2023</v>
      </c>
      <c r="P58" s="44" t="s">
        <v>48</v>
      </c>
      <c r="Q58" s="44" t="s">
        <v>52</v>
      </c>
      <c r="R58">
        <v>694</v>
      </c>
      <c r="S58" s="61">
        <v>44958</v>
      </c>
    </row>
    <row r="59" spans="15:19" x14ac:dyDescent="0.25">
      <c r="O59">
        <v>2023</v>
      </c>
      <c r="P59" s="44" t="s">
        <v>48</v>
      </c>
      <c r="Q59" s="44" t="s">
        <v>53</v>
      </c>
      <c r="R59">
        <v>647</v>
      </c>
      <c r="S59" s="61">
        <v>44986</v>
      </c>
    </row>
    <row r="60" spans="15:19" x14ac:dyDescent="0.25">
      <c r="O60">
        <v>2023</v>
      </c>
      <c r="P60" s="44" t="s">
        <v>48</v>
      </c>
      <c r="Q60" s="44" t="s">
        <v>54</v>
      </c>
      <c r="R60">
        <v>764</v>
      </c>
      <c r="S60" s="61">
        <v>45017</v>
      </c>
    </row>
    <row r="61" spans="15:19" x14ac:dyDescent="0.25">
      <c r="O61">
        <v>2023</v>
      </c>
      <c r="P61" s="44" t="s">
        <v>48</v>
      </c>
      <c r="Q61" s="44" t="s">
        <v>55</v>
      </c>
      <c r="R61">
        <v>526</v>
      </c>
      <c r="S61" s="61">
        <v>45047</v>
      </c>
    </row>
    <row r="62" spans="15:19" x14ac:dyDescent="0.25">
      <c r="O62">
        <v>2023</v>
      </c>
      <c r="P62" s="44" t="s">
        <v>48</v>
      </c>
      <c r="Q62" s="44" t="s">
        <v>56</v>
      </c>
      <c r="R62">
        <v>888</v>
      </c>
      <c r="S62" s="61">
        <v>45078</v>
      </c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1B050"/>
  </sheetPr>
  <dimension ref="I10:S22"/>
  <sheetViews>
    <sheetView topLeftCell="K11" workbookViewId="0">
      <pane xSplit="2" ySplit="4" topLeftCell="M15" activePane="bottomRight" state="frozen"/>
      <selection activeCell="K11" sqref="K11"/>
      <selection pane="topRight" activeCell="M11" sqref="M11"/>
      <selection pane="bottomLeft" activeCell="K15" sqref="K15"/>
      <selection pane="bottomRight" activeCell="V57" sqref="V57"/>
    </sheetView>
  </sheetViews>
  <sheetFormatPr defaultRowHeight="10.3" x14ac:dyDescent="0.25"/>
  <cols>
    <col min="1" max="1" width="50.81640625" customWidth="1"/>
    <col min="11" max="11" width="8.90625" customWidth="1"/>
    <col min="12" max="12" width="10" bestFit="1" customWidth="1"/>
    <col min="13" max="18" width="10.36328125" customWidth="1"/>
    <col min="19" max="19" width="1.6328125" customWidth="1"/>
  </cols>
  <sheetData>
    <row r="10" spans="9:19" ht="10.75" thickBot="1" x14ac:dyDescent="0.3"/>
    <row r="11" spans="9:19" ht="15.45" x14ac:dyDescent="0.25">
      <c r="K11" s="32" t="s">
        <v>57</v>
      </c>
      <c r="L11" s="33"/>
      <c r="M11" s="34"/>
      <c r="N11" s="33"/>
      <c r="O11" s="33"/>
      <c r="P11" s="33"/>
      <c r="Q11" s="33"/>
      <c r="R11" s="33"/>
      <c r="S11" s="35"/>
    </row>
    <row r="12" spans="9:19" ht="15.45" x14ac:dyDescent="0.25">
      <c r="K12" s="36"/>
      <c r="L12" s="37"/>
      <c r="M12" s="38"/>
      <c r="N12" s="37"/>
      <c r="O12" s="37"/>
      <c r="P12" s="37"/>
      <c r="Q12" s="37"/>
      <c r="R12" s="37"/>
      <c r="S12" s="39"/>
    </row>
    <row r="13" spans="9:19" ht="12.45" x14ac:dyDescent="0.25">
      <c r="K13" s="40"/>
      <c r="L13" s="37"/>
      <c r="M13" s="37"/>
      <c r="N13" s="37"/>
      <c r="O13" s="37"/>
      <c r="P13" s="37"/>
      <c r="Q13" s="37"/>
      <c r="R13" s="37"/>
      <c r="S13" s="39"/>
    </row>
    <row r="14" spans="9:19" ht="10.75" thickBot="1" x14ac:dyDescent="0.3">
      <c r="K14" s="43" t="s">
        <v>49</v>
      </c>
      <c r="L14" s="41" t="s">
        <v>50</v>
      </c>
      <c r="M14" s="41" t="s">
        <v>51</v>
      </c>
      <c r="N14" s="41" t="s">
        <v>52</v>
      </c>
      <c r="O14" s="41" t="s">
        <v>53</v>
      </c>
      <c r="P14" s="41" t="s">
        <v>54</v>
      </c>
      <c r="Q14" s="41" t="s">
        <v>55</v>
      </c>
      <c r="R14" s="41" t="s">
        <v>56</v>
      </c>
      <c r="S14" s="42" t="s">
        <v>42</v>
      </c>
    </row>
    <row r="15" spans="9:19" x14ac:dyDescent="0.25">
      <c r="I15">
        <f ca="1">1000+INT((RAND()-0.5)*300)</f>
        <v>956</v>
      </c>
      <c r="K15">
        <v>2024</v>
      </c>
      <c r="L15" t="s">
        <v>45</v>
      </c>
      <c r="M15">
        <v>1063</v>
      </c>
      <c r="N15">
        <v>1001</v>
      </c>
      <c r="O15">
        <v>1146</v>
      </c>
      <c r="P15">
        <v>1056</v>
      </c>
      <c r="Q15">
        <v>928</v>
      </c>
      <c r="R15">
        <v>1100</v>
      </c>
    </row>
    <row r="16" spans="9:19" x14ac:dyDescent="0.25">
      <c r="I16">
        <f ca="1">900+INT((RAND()-0.5)*300)</f>
        <v>905</v>
      </c>
      <c r="L16" t="s">
        <v>46</v>
      </c>
      <c r="M16">
        <v>756</v>
      </c>
      <c r="N16">
        <v>860</v>
      </c>
      <c r="O16">
        <v>866</v>
      </c>
      <c r="P16">
        <v>982</v>
      </c>
      <c r="Q16">
        <v>1034</v>
      </c>
      <c r="R16">
        <v>752</v>
      </c>
    </row>
    <row r="17" spans="9:18" x14ac:dyDescent="0.25">
      <c r="I17">
        <f ca="1">800+INT((RAND()-0.5)*300)</f>
        <v>910</v>
      </c>
      <c r="L17" t="s">
        <v>47</v>
      </c>
      <c r="M17">
        <v>892</v>
      </c>
      <c r="N17">
        <v>886</v>
      </c>
      <c r="O17">
        <v>805</v>
      </c>
      <c r="P17">
        <v>848</v>
      </c>
      <c r="Q17">
        <v>812</v>
      </c>
      <c r="R17">
        <v>711</v>
      </c>
    </row>
    <row r="18" spans="9:18" x14ac:dyDescent="0.25">
      <c r="I18">
        <f ca="1">700+INT((RAND()-0.5)*300)</f>
        <v>694</v>
      </c>
      <c r="L18" t="s">
        <v>48</v>
      </c>
      <c r="M18">
        <v>663</v>
      </c>
      <c r="N18">
        <v>761</v>
      </c>
      <c r="O18">
        <v>654</v>
      </c>
      <c r="P18">
        <v>738</v>
      </c>
      <c r="Q18">
        <v>714</v>
      </c>
      <c r="R18">
        <v>821</v>
      </c>
    </row>
    <row r="19" spans="9:18" x14ac:dyDescent="0.25">
      <c r="I19">
        <f ca="1">950+INT((RAND()-0.5)*300)</f>
        <v>827</v>
      </c>
      <c r="K19">
        <v>2023</v>
      </c>
      <c r="L19" t="s">
        <v>45</v>
      </c>
      <c r="M19">
        <v>1080</v>
      </c>
      <c r="N19">
        <v>1044</v>
      </c>
      <c r="O19">
        <v>863</v>
      </c>
      <c r="P19">
        <v>1009</v>
      </c>
      <c r="Q19">
        <v>848</v>
      </c>
      <c r="R19">
        <v>960</v>
      </c>
    </row>
    <row r="20" spans="9:18" x14ac:dyDescent="0.25">
      <c r="I20">
        <f ca="1">850+INT((RAND()-0.5)*300)</f>
        <v>998</v>
      </c>
      <c r="L20" t="s">
        <v>46</v>
      </c>
      <c r="M20">
        <v>731</v>
      </c>
      <c r="N20">
        <v>887</v>
      </c>
      <c r="O20">
        <v>980</v>
      </c>
      <c r="P20">
        <v>853</v>
      </c>
      <c r="Q20">
        <v>960</v>
      </c>
      <c r="R20">
        <v>784</v>
      </c>
    </row>
    <row r="21" spans="9:18" x14ac:dyDescent="0.25">
      <c r="I21">
        <f ca="1">750+INT((RAND()-0.5)*300)</f>
        <v>717</v>
      </c>
      <c r="L21" t="s">
        <v>47</v>
      </c>
      <c r="M21">
        <v>817</v>
      </c>
      <c r="N21">
        <v>803</v>
      </c>
      <c r="O21">
        <v>819</v>
      </c>
      <c r="P21">
        <v>726</v>
      </c>
      <c r="Q21">
        <v>889</v>
      </c>
      <c r="R21">
        <v>600</v>
      </c>
    </row>
    <row r="22" spans="9:18" x14ac:dyDescent="0.25">
      <c r="I22">
        <f ca="1">650+INT((RAND()-0.5)*300)</f>
        <v>798</v>
      </c>
      <c r="L22" t="s">
        <v>48</v>
      </c>
      <c r="M22">
        <v>690</v>
      </c>
      <c r="N22">
        <v>694</v>
      </c>
      <c r="O22">
        <v>647</v>
      </c>
      <c r="P22">
        <v>764</v>
      </c>
      <c r="Q22">
        <v>526</v>
      </c>
      <c r="R22">
        <v>888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47F7B5-7B25-4373-8723-8D89C638EC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Guide</vt:lpstr>
      <vt:lpstr>Params</vt:lpstr>
      <vt:lpstr>rPT</vt:lpstr>
      <vt:lpstr>Sheet5</vt:lpstr>
      <vt:lpstr>Sheet4</vt:lpstr>
      <vt:lpstr>oUnpivotted</vt:lpstr>
      <vt:lpstr>sPivotData</vt:lpstr>
      <vt:lpstr>afbGuide</vt:lpstr>
      <vt:lpstr>afbParams</vt:lpstr>
      <vt:lpstr>oUnpivotted!afbSheet</vt:lpstr>
      <vt:lpstr>rPT!afbSheet</vt:lpstr>
      <vt:lpstr>sPivotData!afbSheet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rPT!parSheet</vt:lpstr>
      <vt:lpstr>oUnpivotted!Print_Area</vt:lpstr>
      <vt:lpstr>rPT!Print_Area</vt:lpstr>
      <vt:lpstr>sPivotData!Print_Area</vt:lpstr>
      <vt:lpstr>Guide!Print_Titles</vt:lpstr>
      <vt:lpstr>oUnpivotted!Print_Titles</vt:lpstr>
      <vt:lpstr>Params!Print_Titles</vt:lpstr>
      <vt:lpstr>rPT!Print_Titles</vt:lpstr>
      <vt:lpstr>sPivotData!Print_Titles</vt:lpstr>
      <vt:lpstr>Guide!ttSheet</vt:lpstr>
      <vt:lpstr>oUnpivotted!ttSheet</vt:lpstr>
      <vt:lpstr>Params!ttSheet</vt:lpstr>
      <vt:lpstr>rPT!ttSheet</vt:lpstr>
      <vt:lpstr>sPivotData!ttSheet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2024-01-21T08:10:41Z</dcterms:modified>
</cp:coreProperties>
</file>